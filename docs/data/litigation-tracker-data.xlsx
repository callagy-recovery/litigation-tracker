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NSA Enforcement Decisions" sheetId="1" state="visible" r:id="rId1"/>
    <sheet xmlns:r="http://schemas.openxmlformats.org/officeDocument/2006/relationships" name="Dashboard Summary" sheetId="2" state="visible" r:id="rId2"/>
    <sheet xmlns:r="http://schemas.openxmlformats.org/officeDocument/2006/relationships" name="Methodology &amp; Coding" sheetId="3" state="visible" r:id="rId3"/>
    <sheet xmlns:r="http://schemas.openxmlformats.org/officeDocument/2006/relationships" name="Source Index" sheetId="4" state="visible" r:id="rId4"/>
    <sheet xmlns:r="http://schemas.openxmlformats.org/officeDocument/2006/relationships" name="Pending Cases" sheetId="5" state="visible" r:id="rId5"/>
    <sheet xmlns:r="http://schemas.openxmlformats.org/officeDocument/2006/relationships" name="DOL Actions" sheetId="6" state="visible" r:id="rId6"/>
  </sheets>
  <definedNames>
    <definedName name="_xlnm._FilterDatabase" localSheetId="0" hidden="1">'NSA Enforcement Decisions'!$A$1:$AA$48</definedName>
    <definedName name="_xlnm._FilterDatabase" localSheetId="3" hidden="1">'Source Index'!$A$1:$F$48</definedName>
    <definedName name="_xlnm._FilterDatabase" localSheetId="4" hidden="1">'Pending Cases'!$A$1:$K$12</definedName>
    <definedName name="_xlnm._FilterDatabase" localSheetId="5" hidden="1">'DOL Actions'!$A$1:$H$20</definedName>
  </definedNames>
  <calcPr calcId="191029" fullCalcOnLoad="1" forceFullCalc="1"/>
</workbook>
</file>

<file path=xl/styles.xml><?xml version="1.0" encoding="utf-8"?>
<styleSheet xmlns="http://schemas.openxmlformats.org/spreadsheetml/2006/main">
  <numFmts count="1">
    <numFmt numFmtId="164" formatCode="\$#,##0.00"/>
  </numFmts>
  <fonts count="10">
    <font>
      <name val="Calibri"/>
      <family val="2"/>
      <color theme="1"/>
      <sz val="11"/>
      <scheme val="minor"/>
    </font>
    <font>
      <name val="Calibri"/>
      <b val="1"/>
      <color rgb="FFFFFFFF"/>
      <sz val="11"/>
    </font>
    <font>
      <name val="Calibri"/>
      <color rgb="FF000000"/>
      <sz val="9"/>
    </font>
    <font>
      <name val="Calibri"/>
      <color rgb="FF008000"/>
      <sz val="9"/>
    </font>
    <font>
      <name val="Calibri"/>
      <family val="2"/>
      <color theme="10"/>
      <sz val="12"/>
      <scheme val="minor"/>
    </font>
    <font>
      <name val="Calibri"/>
      <b val="1"/>
      <color rgb="FFFFFFFF"/>
      <sz val="16"/>
    </font>
    <font>
      <name val="Calibri"/>
      <b val="1"/>
      <sz val="11"/>
    </font>
    <font>
      <name val="Calibri"/>
      <b val="1"/>
      <color rgb="FF666666"/>
      <sz val="11"/>
    </font>
    <font>
      <name val="Calibri"/>
      <color rgb="FF666666"/>
      <sz val="11"/>
    </font>
    <font>
      <name val="Calibri"/>
      <b val="1"/>
      <color rgb="FFFFFFFF"/>
      <sz val="10"/>
    </font>
  </fonts>
  <fills count="6">
    <fill>
      <patternFill/>
    </fill>
    <fill>
      <patternFill patternType="gray125"/>
    </fill>
    <fill>
      <patternFill patternType="solid">
        <fgColor rgb="FF17365D"/>
      </patternFill>
    </fill>
    <fill>
      <patternFill patternType="solid">
        <fgColor rgb="FFE2F0D9"/>
      </patternFill>
    </fill>
    <fill>
      <patternFill patternType="solid">
        <fgColor rgb="FFFCE4D6"/>
      </patternFill>
    </fill>
    <fill>
      <patternFill patternType="solid">
        <fgColor rgb="FF1F4E78"/>
      </patternFill>
    </fill>
  </fills>
  <borders count="2">
    <border>
      <left/>
      <right/>
      <top/>
      <bottom/>
      <diagonal/>
    </border>
    <border>
      <left/>
      <right/>
      <top/>
      <bottom style="thin">
        <color rgb="FF9EADBD"/>
      </bottom>
      <diagonal/>
    </border>
  </borders>
  <cellStyleXfs count="2">
    <xf numFmtId="0" fontId="0" fillId="0" borderId="0"/>
    <xf numFmtId="0" fontId="4"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3" fillId="0" borderId="0" applyAlignment="1" pivotButton="0" quotePrefix="0" xfId="0">
      <alignment vertical="top" wrapText="1"/>
    </xf>
    <xf numFmtId="14" fontId="3" fillId="0" borderId="0" applyAlignment="1" pivotButton="0" quotePrefix="0" xfId="0">
      <alignment vertical="top" wrapText="1"/>
    </xf>
    <xf numFmtId="0" fontId="3" fillId="3" borderId="0" applyAlignment="1" pivotButton="0" quotePrefix="0" xfId="0">
      <alignment vertical="top" wrapText="1"/>
    </xf>
    <xf numFmtId="0" fontId="2" fillId="3" borderId="0" applyAlignment="1" pivotButton="0" quotePrefix="0" xfId="0">
      <alignment vertical="top" wrapText="1"/>
    </xf>
    <xf numFmtId="164" fontId="3" fillId="0" borderId="0" applyAlignment="1" pivotButton="0" quotePrefix="0" xfId="0">
      <alignment vertical="top" wrapText="1"/>
    </xf>
    <xf numFmtId="0" fontId="4" fillId="0" borderId="0" pivotButton="0" quotePrefix="0" xfId="1"/>
    <xf numFmtId="0" fontId="3" fillId="4" borderId="0" applyAlignment="1" pivotButton="0" quotePrefix="0" xfId="0">
      <alignment vertical="top" wrapText="1"/>
    </xf>
    <xf numFmtId="0" fontId="2" fillId="4" borderId="0" applyAlignment="1" pivotButton="0" quotePrefix="0" xfId="0">
      <alignment vertical="top" wrapText="1"/>
    </xf>
    <xf numFmtId="0" fontId="0" fillId="0" borderId="0" applyAlignment="1" pivotButton="0" quotePrefix="0" xfId="0">
      <alignment vertical="top" wrapText="1"/>
    </xf>
    <xf numFmtId="14" fontId="0" fillId="0" borderId="0" applyAlignment="1" pivotButton="0" quotePrefix="0" xfId="0">
      <alignment vertical="top" wrapText="1"/>
    </xf>
    <xf numFmtId="0" fontId="6" fillId="0" borderId="0" applyAlignment="1" pivotButton="0" quotePrefix="0" xfId="0">
      <alignment vertical="top" wrapText="1"/>
    </xf>
    <xf numFmtId="0" fontId="1" fillId="5"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1" fillId="2" borderId="0" applyAlignment="1" pivotButton="0" quotePrefix="0" xfId="0">
      <alignment vertical="top" wrapText="1"/>
    </xf>
    <xf numFmtId="0" fontId="4" fillId="0" borderId="0" applyAlignment="1" pivotButton="0" quotePrefix="0" xfId="1">
      <alignment vertical="top" wrapText="1"/>
    </xf>
    <xf numFmtId="0" fontId="9" fillId="2" borderId="1" applyAlignment="1" pivotButton="0" quotePrefix="0" xfId="0">
      <alignment horizontal="center" vertical="center" wrapText="1"/>
    </xf>
    <xf numFmtId="0" fontId="5" fillId="2" borderId="0" applyAlignment="1" pivotButton="0" quotePrefix="0" xfId="0">
      <alignment vertical="top" wrapText="1"/>
    </xf>
    <xf numFmtId="0" fontId="0" fillId="0" borderId="0"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ycourts.gov/reporter/current/3dseries/2026/2026_26143.shtml" TargetMode="External" Id="rId1"/></Relationships>
</file>

<file path=xl/worksheets/_rels/sheet3.xml.rels><Relationships xmlns="http://schemas.openxmlformats.org/package/2006/relationships"><Relationship Type="http://schemas.openxmlformats.org/officeDocument/2006/relationships/hyperlink" Target="https://law.justia.com/cases/federal/appellate-courts/ca11/24-10135/24-10135-2025-11-19.html" TargetMode="External" Id="rId1"/></Relationships>
</file>

<file path=xl/worksheets/_rels/sheet4.xml.rels><Relationships xmlns="http://schemas.openxmlformats.org/package/2006/relationships"><Relationship Type="http://schemas.openxmlformats.org/officeDocument/2006/relationships/hyperlink" Target="https://www.nycourts.gov/reporter/current/3dseries/2026/2026_26143.shtml" TargetMode="External" Id="rId1"/></Relationships>
</file>

<file path=xl/worksheets/_rels/sheet5.xml.rels><Relationships xmlns="http://schemas.openxmlformats.org/package/2006/relationships"><Relationship Type="http://schemas.openxmlformats.org/officeDocument/2006/relationships/hyperlink" Target="https://dockets.justia.com/docket/oklahoma/okndce/4%3A2025cv00466/74048" TargetMode="External" Id="rId1"/><Relationship Type="http://schemas.openxmlformats.org/officeDocument/2006/relationships/hyperlink" Target="https://dockets.justia.com/docket/new-jersey/njdce/2%3A2026cv02175/592707" TargetMode="External" Id="rId2"/><Relationship Type="http://schemas.openxmlformats.org/officeDocument/2006/relationships/hyperlink" Target="https://dockets.justia.com/docket/circuit-courts/ca2/26-1241" TargetMode="External" Id="rId3"/><Relationship Type="http://schemas.openxmlformats.org/officeDocument/2006/relationships/hyperlink" Target="https://dockets.justia.com/docket/circuit-courts/ca7/26-2269" TargetMode="External" Id="rId4"/><Relationship Type="http://schemas.openxmlformats.org/officeDocument/2006/relationships/hyperlink" Target="https://dockets.justia.com/docket/circuit-courts/ca7/26-2279" TargetMode="External" Id="rId5"/><Relationship Type="http://schemas.openxmlformats.org/officeDocument/2006/relationships/hyperlink" Target="https://dockets.justia.com/docket/circuit-courts/ca7/26-2280" TargetMode="External" Id="rId6"/><Relationship Type="http://schemas.openxmlformats.org/officeDocument/2006/relationships/hyperlink" Target="https://dockets.justia.com/docket/new-jersey/njdce/2%3A2026cv08006/602127" TargetMode="External" Id="rId7"/><Relationship Type="http://schemas.openxmlformats.org/officeDocument/2006/relationships/hyperlink" Target="https://dockets.justia.com/docket/circuit-courts/ca7/26-2401" TargetMode="External" Id="rId8"/><Relationship Type="http://schemas.openxmlformats.org/officeDocument/2006/relationships/hyperlink" Target="https://dockets.justia.com/docket/circuit-courts/ca2/26-2287" TargetMode="External" Id="rId9"/><Relationship Type="http://schemas.openxmlformats.org/officeDocument/2006/relationships/hyperlink" Target="https://dockets.justia.com/docket/circuit-courts/ca2/26-2291" TargetMode="External" Id="rId10"/><Relationship Type="http://schemas.openxmlformats.org/officeDocument/2006/relationships/hyperlink" Target="https://dockets.justia.com/docket/circuit-courts/ca7/26-2736" TargetMode="External" Id="rId11"/></Relationships>
</file>

<file path=xl/worksheets/_rels/sheet6.xml.rels><Relationships xmlns="http://schemas.openxmlformats.org/package/2006/relationships"><Relationship Type="http://schemas.openxmlformats.org/officeDocument/2006/relationships/hyperlink" Target="https://regulations.justia.com/regulations/fedreg/2021/07/13/2021-14379.html" TargetMode="External" Id="rId1"/><Relationship Type="http://schemas.openxmlformats.org/officeDocument/2006/relationships/hyperlink" Target="https://www.dol.gov/resource-library/requirements-related-surprise-billing-part-ii" TargetMode="External" Id="rId2"/><Relationship Type="http://schemas.openxmlformats.org/officeDocument/2006/relationships/hyperlink" Target="https://law.justia.com/cases/federal/district-courts/texas/txedce/6%3A2021cv00425/211847/113/" TargetMode="External" Id="rId3"/><Relationship Type="http://schemas.openxmlformats.org/officeDocument/2006/relationships/hyperlink" Target="https://law.justia.com/cases/federal/district-courts/texas/txedce/6%3A2022cv00162/214240/40/" TargetMode="External" Id="rId4"/><Relationship Type="http://schemas.openxmlformats.org/officeDocument/2006/relationships/hyperlink" Target="https://www.govinfo.gov/content/pkg/FR-2022-08-26/pdf/FR-2022-08-26.pdf" TargetMode="External" Id="rId5"/><Relationship Type="http://schemas.openxmlformats.org/officeDocument/2006/relationships/hyperlink" Target="https://law.justia.com/cases/federal/district-courts/texas/txedce/6%3A2022cv00372/217452/99/" TargetMode="External" Id="rId6"/><Relationship Type="http://schemas.openxmlformats.org/officeDocument/2006/relationships/hyperlink" Target="https://law.justia.com/cases/federal/district-courts/texas/txedce/6%3A2023cv00059/219983/50/" TargetMode="External" Id="rId7"/><Relationship Type="http://schemas.openxmlformats.org/officeDocument/2006/relationships/hyperlink" Target="https://law.justia.com/cases/federal/district-courts/texas/txedce/6%3A2022cv00450/218817/62/" TargetMode="External" Id="rId8"/><Relationship Type="http://schemas.openxmlformats.org/officeDocument/2006/relationships/hyperlink" Target="https://regulations.justia.com/regulations/fedreg/2023/09/26/2023-20799.html" TargetMode="External" Id="rId9"/><Relationship Type="http://schemas.openxmlformats.org/officeDocument/2006/relationships/hyperlink" Target="https://regulations.justia.com/regulations/fedreg/2023/11/03/2023-23779.html" TargetMode="External" Id="rId10"/><Relationship Type="http://schemas.openxmlformats.org/officeDocument/2006/relationships/hyperlink" Target="https://regulations.justia.com/regulations/fedreg/2023/12/21/2023-27931.html" TargetMode="External" Id="rId11"/><Relationship Type="http://schemas.openxmlformats.org/officeDocument/2006/relationships/hyperlink" Target="https://law.justia.com/cases/federal/appellate-courts/ca5/23-40217/23-40217-2024-08-02.html" TargetMode="External" Id="rId12"/><Relationship Type="http://schemas.openxmlformats.org/officeDocument/2006/relationships/hyperlink" Target="https://law.justia.com/cases/federal/appellate-courts/ca5/23-40605/23-40605-2024-10-30.html" TargetMode="External" Id="rId13"/><Relationship Type="http://schemas.openxmlformats.org/officeDocument/2006/relationships/hyperlink" Target="https://law.justia.com/cases/federal/appellate-courts/ca5/23-40605/23-40605-2025-05-30.html" TargetMode="External" Id="rId14"/><Relationship Type="http://schemas.openxmlformats.org/officeDocument/2006/relationships/hyperlink" Target="https://www.dol.gov/agencies/ebsa/about-ebsa/our-activities/resource-center/faqs/aca-part-71" TargetMode="External" Id="rId15"/><Relationship Type="http://schemas.openxmlformats.org/officeDocument/2006/relationships/hyperlink" Target="https://www.federalregister.gov/documents/2026/06/04/2026-11140/federal-independent-dispute-resolution-operations" TargetMode="External" Id="rId16"/><Relationship Type="http://schemas.openxmlformats.org/officeDocument/2006/relationships/hyperlink" Target="https://law.justia.com/cases/federal/appellate-courts/ca5/23-40605/23-40605-2026-08-11.html" TargetMode="External" Id="rId17"/><Relationship Type="http://schemas.openxmlformats.org/officeDocument/2006/relationships/hyperlink" Target="https://www.cms.gov/initiatives/no-surprise-billing/overview/notices" TargetMode="External" Id="rId18"/><Relationship Type="http://schemas.openxmlformats.org/officeDocument/2006/relationships/hyperlink" Target="https://www.cms.gov/initiatives/no-surprise-billing/overview/notices" TargetMode="External" Id="rId19"/></Relationships>
</file>

<file path=xl/worksheets/sheet1.xml><?xml version="1.0" encoding="utf-8"?>
<worksheet xmlns="http://schemas.openxmlformats.org/spreadsheetml/2006/main">
  <sheetPr>
    <outlinePr summaryBelow="1" summaryRight="1"/>
    <pageSetUpPr/>
  </sheetPr>
  <dimension ref="A1:AA57"/>
  <sheetViews>
    <sheetView showGridLines="0" tabSelected="1" workbookViewId="0">
      <pane ySplit="1" topLeftCell="A2" activePane="bottomLeft" state="frozen"/>
      <selection pane="bottomLeft" activeCell="A1" sqref="A1"/>
    </sheetView>
  </sheetViews>
  <sheetFormatPr baseColWidth="8" defaultRowHeight="14.4"/>
  <cols>
    <col width="12" customWidth="1" style="21" min="1" max="1"/>
    <col width="46" customWidth="1" style="21" min="2" max="2"/>
    <col width="32" customWidth="1" style="21" min="3" max="3"/>
    <col width="34" customWidth="1" style="21" min="4" max="4"/>
    <col width="39" customWidth="1" style="21" min="5" max="5"/>
    <col width="18" customWidth="1" style="21" min="6" max="6"/>
    <col width="10" customWidth="1" style="21" min="7" max="7"/>
    <col width="24" customWidth="1" style="21" min="8" max="8"/>
    <col width="14" customWidth="1" style="21" min="9" max="9"/>
    <col width="12" customWidth="1" style="21" min="10" max="10"/>
    <col width="15" customWidth="1" style="21" min="11" max="11"/>
    <col width="12" customWidth="1" style="21" min="12" max="12"/>
    <col width="13" customWidth="1" style="21" min="13" max="13"/>
    <col width="30" customWidth="1" style="21" min="14" max="14"/>
    <col width="22" customWidth="1" style="21" min="15" max="15"/>
    <col width="26" customWidth="1" style="21" min="16" max="16"/>
    <col width="18" customWidth="1" style="21" min="17" max="18"/>
    <col width="72" customWidth="1" style="21" min="19" max="19"/>
    <col width="24" customWidth="1" style="21" min="20" max="20"/>
    <col width="26" customWidth="1" style="21" min="21" max="21"/>
    <col width="48" customWidth="1" style="21" min="22" max="22"/>
    <col width="62" customWidth="1" style="21" min="23" max="23"/>
    <col width="26" customWidth="1" style="21" min="24" max="24"/>
    <col width="20" customWidth="1" style="21" min="25" max="25"/>
    <col width="58" customWidth="1" style="21" min="26" max="26"/>
    <col width="15" customWidth="1" style="21" min="27" max="27"/>
  </cols>
  <sheetData>
    <row r="1" ht="38.1" customHeight="1" s="21">
      <c r="A1" s="1" t="inlineStr">
        <is>
          <t>Decision ID</t>
        </is>
      </c>
      <c r="B1" s="1" t="inlineStr">
        <is>
          <t>Case Name</t>
        </is>
      </c>
      <c r="C1" s="1" t="inlineStr">
        <is>
          <t>Provider / Claimant</t>
        </is>
      </c>
      <c r="D1" s="1" t="inlineStr">
        <is>
          <t>Payor / Defendant</t>
        </is>
      </c>
      <c r="E1" s="1" t="inlineStr">
        <is>
          <t>Court</t>
        </is>
      </c>
      <c r="F1" s="1" t="inlineStr">
        <is>
          <t>Court Level</t>
        </is>
      </c>
      <c r="G1" s="1" t="inlineStr">
        <is>
          <t>Circuit</t>
        </is>
      </c>
      <c r="H1" s="1" t="inlineStr">
        <is>
          <t>Docket No.</t>
        </is>
      </c>
      <c r="I1" s="1" t="inlineStr">
        <is>
          <t>Decision Date</t>
        </is>
      </c>
      <c r="J1" s="1" t="inlineStr">
        <is>
          <t>Court State</t>
        </is>
      </c>
      <c r="K1" s="1" t="inlineStr">
        <is>
          <t>Origin / Plan State</t>
        </is>
      </c>
      <c r="L1" s="1" t="inlineStr">
        <is>
          <t>Outcome</t>
        </is>
      </c>
      <c r="M1" s="1" t="inlineStr">
        <is>
          <t>Heat Map Code</t>
        </is>
      </c>
      <c r="N1" s="1" t="inlineStr">
        <is>
          <t>Decision Type</t>
        </is>
      </c>
      <c r="O1" s="1" t="inlineStr">
        <is>
          <t>NSA Private Right of Action?</t>
        </is>
      </c>
      <c r="P1" s="1" t="inlineStr">
        <is>
          <t>FAA §9 Confirmation?</t>
        </is>
      </c>
      <c r="Q1" s="1" t="inlineStr">
        <is>
          <t>Award Confirmed?</t>
        </is>
      </c>
      <c r="R1" s="1" t="inlineStr">
        <is>
          <t>Award Amount ($)</t>
        </is>
      </c>
      <c r="S1" s="1" t="inlineStr">
        <is>
          <t>Holding / Disposition Summary</t>
        </is>
      </c>
      <c r="T1" s="1" t="inlineStr">
        <is>
          <t>Precedential Weight</t>
        </is>
      </c>
      <c r="U1" s="1" t="inlineStr">
        <is>
          <t>Decision Status / Finality</t>
        </is>
      </c>
      <c r="V1" s="1" t="inlineStr">
        <is>
          <t>Appeal / Subsequent History</t>
        </is>
      </c>
      <c r="W1" s="1" t="inlineStr">
        <is>
          <t>Source URL</t>
        </is>
      </c>
      <c r="X1" s="1" t="inlineStr">
        <is>
          <t>Scope Category</t>
        </is>
      </c>
      <c r="Y1" s="1" t="inlineStr">
        <is>
          <t>Heat Map Include (Recommended)</t>
        </is>
      </c>
      <c r="Z1" s="1" t="inlineStr">
        <is>
          <t>Dashboard Caution / Notes</t>
        </is>
      </c>
      <c r="AA1" s="1" t="inlineStr">
        <is>
          <t>Verified Through</t>
        </is>
      </c>
    </row>
    <row r="2" ht="24" customHeight="1" s="21">
      <c r="A2" s="2" t="inlineStr">
        <is>
          <t>NSA-001</t>
        </is>
      </c>
      <c r="B2" s="3" t="inlineStr">
        <is>
          <t>GPS of New Jersey M.D., P.C. a/s/o *** v. Horizon Blue Cross Blue Shield of New Jersey</t>
        </is>
      </c>
      <c r="C2" s="3" t="inlineStr">
        <is>
          <t>GPS of New Jersey M.D., P.C.</t>
        </is>
      </c>
      <c r="D2" s="3" t="inlineStr">
        <is>
          <t>Horizon Blue Cross Blue Shield of New Jersey</t>
        </is>
      </c>
      <c r="E2" s="3" t="inlineStr">
        <is>
          <t>U.S. District Court, District of New Jersey</t>
        </is>
      </c>
      <c r="F2" s="3" t="inlineStr">
        <is>
          <t>Federal District</t>
        </is>
      </c>
      <c r="G2" s="3" t="inlineStr">
        <is>
          <t>3d</t>
        </is>
      </c>
      <c r="H2" s="3" t="inlineStr">
        <is>
          <t>2:22-cv-06614-KM-JBC</t>
        </is>
      </c>
      <c r="I2" s="4" t="n">
        <v>45177</v>
      </c>
      <c r="J2" s="3" t="inlineStr">
        <is>
          <t>NJ</t>
        </is>
      </c>
      <c r="K2" s="3" t="inlineStr">
        <is>
          <t>NJ</t>
        </is>
      </c>
      <c r="L2" s="5" t="inlineStr">
        <is>
          <t>Positive</t>
        </is>
      </c>
      <c r="M2" s="6">
        <f>IF(L2="Positive",1,IF(L2="Negative",-1,0))</f>
        <v/>
      </c>
      <c r="N2" s="3" t="inlineStr">
        <is>
          <t>Vacatur denied / award confirmed</t>
        </is>
      </c>
      <c r="O2" s="3" t="inlineStr">
        <is>
          <t>Not reached as provider-enforcement theory</t>
        </is>
      </c>
      <c r="P2" s="3" t="inlineStr">
        <is>
          <t>Confirmation granted in vacatur posture</t>
        </is>
      </c>
      <c r="Q2" s="3" t="inlineStr">
        <is>
          <t>Yes</t>
        </is>
      </c>
      <c r="R2" s="7" t="n"/>
      <c r="S2" s="3" t="inlineStr">
        <is>
          <t>Denied provider's motion to vacate an NSA IDR award and granted Horizon's cross-motion to confirm the award.</t>
        </is>
      </c>
      <c r="T2" s="3" t="inlineStr">
        <is>
          <t>District court</t>
        </is>
      </c>
      <c r="U2" s="3" t="inlineStr">
        <is>
          <t>Final district ruling</t>
        </is>
      </c>
      <c r="V2" s="3" t="inlineStr">
        <is>
          <t>No direct provider-enforcement appeal tracked here</t>
        </is>
      </c>
      <c r="W2" s="8" t="inlineStr">
        <is>
          <t>https://law.justia.com/cases/federal/district-courts/new-jersey/njdce/2%3A2022cv06614/504421/21/</t>
        </is>
      </c>
      <c r="X2" s="3" t="inlineStr">
        <is>
          <t>Context / vacatur-confirmation</t>
        </is>
      </c>
      <c r="Y2" s="5" t="inlineStr">
        <is>
          <t>No</t>
        </is>
      </c>
      <c r="Z2" s="3" t="inlineStr">
        <is>
          <t>Award favored payer; useful confirmation precedent but not a provider nonpayment enforcement suit.</t>
        </is>
      </c>
      <c r="AA2" s="4" t="n">
        <v>46295</v>
      </c>
    </row>
    <row r="3" ht="24" customHeight="1" s="21">
      <c r="A3" s="2" t="inlineStr">
        <is>
          <t>NSA-002</t>
        </is>
      </c>
      <c r="B3" s="3" t="inlineStr">
        <is>
          <t>Worldwide Aircraft Services, Inc. d/b/a Jet ICU v. Worldwide Insurance Services, LLC d/b/a GeoBlue</t>
        </is>
      </c>
      <c r="C3" s="3" t="inlineStr">
        <is>
          <t>Jet ICU</t>
        </is>
      </c>
      <c r="D3" s="3" t="inlineStr">
        <is>
          <t>GeoBlue / Worldwide Insurance Services</t>
        </is>
      </c>
      <c r="E3" s="3" t="inlineStr">
        <is>
          <t>U.S. District Court, Middle District of Florida</t>
        </is>
      </c>
      <c r="F3" s="3" t="inlineStr">
        <is>
          <t>Federal District</t>
        </is>
      </c>
      <c r="G3" s="3" t="inlineStr">
        <is>
          <t>11th</t>
        </is>
      </c>
      <c r="H3" s="3" t="inlineStr">
        <is>
          <t>8:24-cv-00840</t>
        </is>
      </c>
      <c r="I3" s="4" t="n">
        <v>45553</v>
      </c>
      <c r="J3" s="3" t="inlineStr">
        <is>
          <t>FL</t>
        </is>
      </c>
      <c r="K3" s="3" t="inlineStr">
        <is>
          <t>FL</t>
        </is>
      </c>
      <c r="L3" s="5" t="inlineStr">
        <is>
          <t>Positive</t>
        </is>
      </c>
      <c r="M3" s="6">
        <f>IF(L3="Positive",1,IF(L3="Negative",-1,0))</f>
        <v/>
      </c>
      <c r="N3" s="3" t="inlineStr">
        <is>
          <t>Petition to confirm granted</t>
        </is>
      </c>
      <c r="O3" s="3" t="inlineStr">
        <is>
          <t>Not central</t>
        </is>
      </c>
      <c r="P3" s="3" t="inlineStr">
        <is>
          <t>Court confirmed; §9 objection treated as waived</t>
        </is>
      </c>
      <c r="Q3" s="3" t="inlineStr">
        <is>
          <t>Yes</t>
        </is>
      </c>
      <c r="R3" s="7" t="n">
        <v>220204</v>
      </c>
      <c r="S3" s="3" t="inlineStr">
        <is>
          <t>Granted petition to confirm NSA IDR award and entered judgment for the provider.</t>
        </is>
      </c>
      <c r="T3" s="3" t="inlineStr">
        <is>
          <t>District court</t>
        </is>
      </c>
      <c r="U3" s="3" t="inlineStr">
        <is>
          <t>Final district ruling</t>
        </is>
      </c>
      <c r="V3" s="3" t="inlineStr">
        <is>
          <t>No subsequent appellate decision identified in public search</t>
        </is>
      </c>
      <c r="W3" s="8" t="inlineStr">
        <is>
          <t>https://docs.justia.com/cases/federal/district-courts/florida/flmdce/8%3A2024cv00840/426099/25</t>
        </is>
      </c>
      <c r="X3" s="3" t="inlineStr">
        <is>
          <t>Direct enforcement</t>
        </is>
      </c>
      <c r="Y3" s="5" t="inlineStr">
        <is>
          <t>Yes</t>
        </is>
      </c>
      <c r="Z3" s="3" t="inlineStr">
        <is>
          <t>Positive result, but limited because the payer's challenge to FAA confirmation was treated as waived.</t>
        </is>
      </c>
      <c r="AA3" s="4" t="n">
        <v>46295</v>
      </c>
    </row>
    <row r="4" ht="24" customHeight="1" s="21">
      <c r="A4" s="2" t="inlineStr">
        <is>
          <t>NSA-003</t>
        </is>
      </c>
      <c r="B4" s="3" t="inlineStr">
        <is>
          <t>FHMC LLC v. Blue Cross and Blue Shield of Arizona, Inc.</t>
        </is>
      </c>
      <c r="C4" s="3" t="inlineStr">
        <is>
          <t>FHMC LLC</t>
        </is>
      </c>
      <c r="D4" s="3" t="inlineStr">
        <is>
          <t>Blue Cross and Blue Shield of Arizona</t>
        </is>
      </c>
      <c r="E4" s="3" t="inlineStr">
        <is>
          <t>U.S. District Court, District of Arizona</t>
        </is>
      </c>
      <c r="F4" s="3" t="inlineStr">
        <is>
          <t>Federal District</t>
        </is>
      </c>
      <c r="G4" s="3" t="inlineStr">
        <is>
          <t>9th</t>
        </is>
      </c>
      <c r="H4" s="3" t="inlineStr">
        <is>
          <t>2:23-cv-00876</t>
        </is>
      </c>
      <c r="I4" s="4" t="n">
        <v>45386</v>
      </c>
      <c r="J4" s="3" t="inlineStr">
        <is>
          <t>AZ</t>
        </is>
      </c>
      <c r="K4" s="3" t="inlineStr">
        <is>
          <t>AZ</t>
        </is>
      </c>
      <c r="L4" s="9" t="inlineStr">
        <is>
          <t>Negative</t>
        </is>
      </c>
      <c r="M4" s="10">
        <f>IF(L4="Positive",1,IF(L4="Negative",-1,0))</f>
        <v/>
      </c>
      <c r="N4" s="3" t="inlineStr">
        <is>
          <t>Enforcement claim dismissed</t>
        </is>
      </c>
      <c r="O4" s="3" t="inlineStr">
        <is>
          <t>No</t>
        </is>
      </c>
      <c r="P4" s="3" t="inlineStr">
        <is>
          <t>No</t>
        </is>
      </c>
      <c r="Q4" s="3" t="inlineStr">
        <is>
          <t>No</t>
        </is>
      </c>
      <c r="R4" s="7" t="n"/>
      <c r="S4" s="3" t="inlineStr">
        <is>
          <t>Held the NSA does not create an implied private right of action to enforce an IDR award; detailed statutory scheme weighs against implication.</t>
        </is>
      </c>
      <c r="T4" s="3" t="inlineStr">
        <is>
          <t>District court</t>
        </is>
      </c>
      <c r="U4" s="3" t="inlineStr">
        <is>
          <t>Final district ruling</t>
        </is>
      </c>
      <c r="V4" s="3" t="inlineStr">
        <is>
          <t>No subsequent appellate decision identified in public search</t>
        </is>
      </c>
      <c r="W4" s="8" t="inlineStr">
        <is>
          <t>https://dockets.justia.com/docket/arizona/azdce/2%3A2023cv00876/1334867</t>
        </is>
      </c>
      <c r="X4" s="3" t="inlineStr">
        <is>
          <t>Direct enforcement</t>
        </is>
      </c>
      <c r="Y4" s="9" t="inlineStr">
        <is>
          <t>Yes</t>
        </is>
      </c>
      <c r="Z4" s="3" t="inlineStr">
        <is>
          <t>Early negative enforcement decision frequently cited by later courts.</t>
        </is>
      </c>
      <c r="AA4" s="4" t="n">
        <v>46295</v>
      </c>
    </row>
    <row r="5" ht="24" customHeight="1" s="21">
      <c r="A5" s="2" t="inlineStr">
        <is>
          <t>NSA-004</t>
        </is>
      </c>
      <c r="B5" s="3" t="inlineStr">
        <is>
          <t>Guardian Flight, L.L.C. v. Health Care Service Corp.</t>
        </is>
      </c>
      <c r="C5" s="3" t="inlineStr">
        <is>
          <t>Guardian Flight, L.L.C.</t>
        </is>
      </c>
      <c r="D5" s="3" t="inlineStr">
        <is>
          <t>Health Care Service Corp.</t>
        </is>
      </c>
      <c r="E5" s="3" t="inlineStr">
        <is>
          <t>U.S. District Court, Northern District of Texas</t>
        </is>
      </c>
      <c r="F5" s="3" t="inlineStr">
        <is>
          <t>Federal District</t>
        </is>
      </c>
      <c r="G5" s="3" t="inlineStr">
        <is>
          <t>5th</t>
        </is>
      </c>
      <c r="H5" s="3" t="inlineStr">
        <is>
          <t>3:23-cv-01861-B</t>
        </is>
      </c>
      <c r="I5" s="4" t="n">
        <v>45442</v>
      </c>
      <c r="J5" s="3" t="inlineStr">
        <is>
          <t>TX</t>
        </is>
      </c>
      <c r="K5" s="3" t="inlineStr">
        <is>
          <t>TX</t>
        </is>
      </c>
      <c r="L5" s="9" t="inlineStr">
        <is>
          <t>Negative</t>
        </is>
      </c>
      <c r="M5" s="10">
        <f>IF(L5="Positive",1,IF(L5="Negative",-1,0))</f>
        <v/>
      </c>
      <c r="N5" s="3" t="inlineStr">
        <is>
          <t>Enforcement suit dismissed</t>
        </is>
      </c>
      <c r="O5" s="3" t="inlineStr">
        <is>
          <t>No</t>
        </is>
      </c>
      <c r="P5" s="3" t="inlineStr">
        <is>
          <t>No</t>
        </is>
      </c>
      <c r="Q5" s="3" t="inlineStr">
        <is>
          <t>No</t>
        </is>
      </c>
      <c r="R5" s="7" t="n"/>
      <c r="S5" s="3" t="inlineStr">
        <is>
          <t>Dismissed provider's suit seeking payment of NSA IDR awards, finding no private cause of action.</t>
        </is>
      </c>
      <c r="T5" s="3" t="inlineStr">
        <is>
          <t>District court</t>
        </is>
      </c>
      <c r="U5" s="3" t="inlineStr">
        <is>
          <t>Final district ruling</t>
        </is>
      </c>
      <c r="V5" s="3" t="inlineStr">
        <is>
          <t>Affirmed by Fifth Circuit on 2025-06-12</t>
        </is>
      </c>
      <c r="W5" s="8" t="inlineStr">
        <is>
          <t>https://www.americanbar.org/groups/tort_trial_insurance_practice/resources/journal/2025-fall/recent-developments-health-insurance-life-insurance-disability-insurance-law/</t>
        </is>
      </c>
      <c r="X5" s="3" t="inlineStr">
        <is>
          <t>Direct enforcement</t>
        </is>
      </c>
      <c r="Y5" s="9" t="inlineStr">
        <is>
          <t>Yes</t>
        </is>
      </c>
      <c r="Z5" s="3" t="inlineStr">
        <is>
          <t>Superseded in precedential significance by Fifth Circuit affirmance; retain as separate decision event.</t>
        </is>
      </c>
      <c r="AA5" s="4" t="n">
        <v>46295</v>
      </c>
    </row>
    <row r="6" ht="36" customHeight="1" s="21">
      <c r="A6" s="2" t="inlineStr">
        <is>
          <t>NSA-005</t>
        </is>
      </c>
      <c r="B6" s="3" t="inlineStr">
        <is>
          <t>Guardian Flight, L.L.C. v. Health Care Service Corp.</t>
        </is>
      </c>
      <c r="C6" s="3" t="inlineStr">
        <is>
          <t>Guardian Flight, L.L.C.</t>
        </is>
      </c>
      <c r="D6" s="3" t="inlineStr">
        <is>
          <t>Health Care Service Corp.</t>
        </is>
      </c>
      <c r="E6" s="3" t="inlineStr">
        <is>
          <t>U.S. Court of Appeals for the Fifth Circuit</t>
        </is>
      </c>
      <c r="F6" s="3" t="inlineStr">
        <is>
          <t>Federal Appellate</t>
        </is>
      </c>
      <c r="G6" s="3" t="inlineStr">
        <is>
          <t>5th</t>
        </is>
      </c>
      <c r="H6" s="3" t="inlineStr">
        <is>
          <t>24-10561</t>
        </is>
      </c>
      <c r="I6" s="4" t="n">
        <v>45820</v>
      </c>
      <c r="J6" s="3" t="inlineStr">
        <is>
          <t>LA</t>
        </is>
      </c>
      <c r="K6" s="3" t="inlineStr">
        <is>
          <t>TX</t>
        </is>
      </c>
      <c r="L6" s="9" t="inlineStr">
        <is>
          <t>Negative</t>
        </is>
      </c>
      <c r="M6" s="10">
        <f>IF(L6="Positive",1,IF(L6="Negative",-1,0))</f>
        <v/>
      </c>
      <c r="N6" s="3" t="inlineStr">
        <is>
          <t>District dismissal affirmed</t>
        </is>
      </c>
      <c r="O6" s="3" t="inlineStr">
        <is>
          <t>No</t>
        </is>
      </c>
      <c r="P6" s="3" t="inlineStr">
        <is>
          <t>No</t>
        </is>
      </c>
      <c r="Q6" s="3" t="inlineStr">
        <is>
          <t>No</t>
        </is>
      </c>
      <c r="R6" s="7" t="n"/>
      <c r="S6" s="3" t="inlineStr">
        <is>
          <t>Held the NSA contains no express or implied private right of action to enforce or confirm IDR awards and treated enforcement as part of judicial review barred except for statutory vacatur grounds.</t>
        </is>
      </c>
      <c r="T6" s="3" t="inlineStr">
        <is>
          <t>Binding appellate precedent</t>
        </is>
      </c>
      <c r="U6" s="3" t="inlineStr">
        <is>
          <t>Final appellate ruling</t>
        </is>
      </c>
      <c r="V6" s="3" t="inlineStr">
        <is>
          <t>Certiorari denied by U.S. Supreme Court on 2026-01-12</t>
        </is>
      </c>
      <c r="W6" s="8" t="inlineStr">
        <is>
          <t>https://www.americanbar.org/groups/health_law/news/2025/08/fifth-circuit-no-surprises-act-private-lawsuits-idr-awards/</t>
        </is>
      </c>
      <c r="X6" s="3" t="inlineStr">
        <is>
          <t>Direct enforcement</t>
        </is>
      </c>
      <c r="Y6" s="9" t="inlineStr">
        <is>
          <t>Yes</t>
        </is>
      </c>
      <c r="Z6" s="3" t="inlineStr">
        <is>
          <t>For geographic heat map, Court State is LA (Fifth Circuit seat); Origin State is TX and may be preferable for state shading.</t>
        </is>
      </c>
      <c r="AA6" s="4" t="n">
        <v>46295</v>
      </c>
    </row>
    <row r="7" ht="24" customHeight="1" s="21">
      <c r="A7" s="2" t="inlineStr">
        <is>
          <t>NSA-006</t>
        </is>
      </c>
      <c r="B7" s="3" t="inlineStr">
        <is>
          <t>Jeffrey Farkas, M.D., LLC v. Horizon Blue Cross Blue Shield of New Jersey</t>
        </is>
      </c>
      <c r="C7" s="3" t="inlineStr">
        <is>
          <t>Jeffrey Farkas, M.D., LLC</t>
        </is>
      </c>
      <c r="D7" s="3" t="inlineStr">
        <is>
          <t>Horizon Blue Cross Blue Shield of New Jersey</t>
        </is>
      </c>
      <c r="E7" s="3" t="inlineStr">
        <is>
          <t>U.S. District Court, Eastern District of New York</t>
        </is>
      </c>
      <c r="F7" s="3" t="inlineStr">
        <is>
          <t>Federal District</t>
        </is>
      </c>
      <c r="G7" s="3" t="inlineStr">
        <is>
          <t>2d</t>
        </is>
      </c>
      <c r="H7" s="3" t="inlineStr">
        <is>
          <t>1:25-cv-00054-HG</t>
        </is>
      </c>
      <c r="I7" s="4" t="n">
        <v>45840</v>
      </c>
      <c r="J7" s="3" t="inlineStr">
        <is>
          <t>NY</t>
        </is>
      </c>
      <c r="K7" s="3" t="inlineStr">
        <is>
          <t>NY</t>
        </is>
      </c>
      <c r="L7" s="9" t="inlineStr">
        <is>
          <t>Negative</t>
        </is>
      </c>
      <c r="M7" s="10">
        <f>IF(L7="Positive",1,IF(L7="Negative",-1,0))</f>
        <v/>
      </c>
      <c r="N7" s="3" t="inlineStr">
        <is>
          <t>Petition to confirm dismissed</t>
        </is>
      </c>
      <c r="O7" s="3" t="inlineStr">
        <is>
          <t>No</t>
        </is>
      </c>
      <c r="P7" s="3" t="inlineStr">
        <is>
          <t>No</t>
        </is>
      </c>
      <c r="Q7" s="3" t="inlineStr">
        <is>
          <t>No</t>
        </is>
      </c>
      <c r="R7" s="7" t="n"/>
      <c r="S7" s="3" t="inlineStr">
        <is>
          <t>Dismissed action seeking confirmation of NSA IDR award; held neither the NSA nor FAA supplied the requested enforcement route.</t>
        </is>
      </c>
      <c r="T7" s="3" t="inlineStr">
        <is>
          <t>District court</t>
        </is>
      </c>
      <c r="U7" s="3" t="inlineStr">
        <is>
          <t>Final district ruling</t>
        </is>
      </c>
      <c r="V7" s="3" t="inlineStr">
        <is>
          <t>No subsequent appellate decision identified in public search</t>
        </is>
      </c>
      <c r="W7" s="8" t="inlineStr">
        <is>
          <t>https://caselaw.findlaw.com/court/us-dis-crt-ed-new-yor/117456844.html</t>
        </is>
      </c>
      <c r="X7" s="3" t="inlineStr">
        <is>
          <t>Direct enforcement</t>
        </is>
      </c>
      <c r="Y7" s="9" t="inlineStr">
        <is>
          <t>Yes</t>
        </is>
      </c>
      <c r="Z7" s="3" t="inlineStr">
        <is>
          <t>Negative district authority in Second Circuit before East Coast appellate ruling.</t>
        </is>
      </c>
      <c r="AA7" s="4" t="n">
        <v>46295</v>
      </c>
    </row>
    <row r="8" ht="36" customHeight="1" s="21">
      <c r="A8" s="2" t="inlineStr">
        <is>
          <t>NSA-007</t>
        </is>
      </c>
      <c r="B8" s="3" t="inlineStr">
        <is>
          <t>East Coast Advanced Plastic Surgery, LLC v. Cigna Health and Life Insurance Co.</t>
        </is>
      </c>
      <c r="C8" s="3" t="inlineStr">
        <is>
          <t>East Coast Advanced Plastic Surgery, LLC</t>
        </is>
      </c>
      <c r="D8" s="3" t="inlineStr">
        <is>
          <t>Cigna Health and Life Insurance Co. / Connecticut General</t>
        </is>
      </c>
      <c r="E8" s="3" t="inlineStr">
        <is>
          <t>U.S. District Court, Southern District of New York</t>
        </is>
      </c>
      <c r="F8" s="3" t="inlineStr">
        <is>
          <t>Federal District</t>
        </is>
      </c>
      <c r="G8" s="3" t="inlineStr">
        <is>
          <t>2d</t>
        </is>
      </c>
      <c r="H8" s="3" t="inlineStr">
        <is>
          <t>1:25-cv-00255</t>
        </is>
      </c>
      <c r="I8" s="4" t="n">
        <v>45883</v>
      </c>
      <c r="J8" s="3" t="inlineStr">
        <is>
          <t>NY</t>
        </is>
      </c>
      <c r="K8" s="3" t="inlineStr">
        <is>
          <t>NY</t>
        </is>
      </c>
      <c r="L8" s="9" t="inlineStr">
        <is>
          <t>Negative</t>
        </is>
      </c>
      <c r="M8" s="10">
        <f>IF(L8="Positive",1,IF(L8="Negative",-1,0))</f>
        <v/>
      </c>
      <c r="N8" s="3" t="inlineStr">
        <is>
          <t>Enforcement claims dismissed</t>
        </is>
      </c>
      <c r="O8" s="3" t="inlineStr">
        <is>
          <t>No</t>
        </is>
      </c>
      <c r="P8" s="3" t="inlineStr">
        <is>
          <t>No / not an independent basis</t>
        </is>
      </c>
      <c r="Q8" s="3" t="inlineStr">
        <is>
          <t>No</t>
        </is>
      </c>
      <c r="R8" s="7" t="n">
        <v>3000000</v>
      </c>
      <c r="S8" s="3" t="inlineStr">
        <is>
          <t>Dismissed provider claims seeking payment of more than $3 million in NSA IDR awards; held the NSA does not imply a private cause of action.</t>
        </is>
      </c>
      <c r="T8" s="3" t="inlineStr">
        <is>
          <t>District court</t>
        </is>
      </c>
      <c r="U8" s="3" t="inlineStr">
        <is>
          <t>Final district ruling</t>
        </is>
      </c>
      <c r="V8" s="3" t="inlineStr">
        <is>
          <t>Affirmed by Second Circuit on 2026-09-17</t>
        </is>
      </c>
      <c r="W8" s="8" t="inlineStr">
        <is>
          <t>https://law.justia.com/cases/federal/district-courts/new-york/nysdce/1%3A2025cv00255/634810/49/</t>
        </is>
      </c>
      <c r="X8" s="3" t="inlineStr">
        <is>
          <t>Direct enforcement</t>
        </is>
      </c>
      <c r="Y8" s="9" t="inlineStr">
        <is>
          <t>Yes</t>
        </is>
      </c>
      <c r="Z8" s="3" t="inlineStr">
        <is>
          <t>Superseded in precedential significance by Second Circuit affirmance; amount is described as more than $3 million, so recorded as approximate floor.</t>
        </is>
      </c>
      <c r="AA8" s="4" t="n">
        <v>46295</v>
      </c>
    </row>
    <row r="9" ht="24" customHeight="1" s="21">
      <c r="A9" s="2" t="inlineStr">
        <is>
          <t>NSA-008</t>
        </is>
      </c>
      <c r="B9" s="3" t="inlineStr">
        <is>
          <t>Modern Orthopaedics of NJ v. Premera Blue Cross</t>
        </is>
      </c>
      <c r="C9" s="3" t="inlineStr">
        <is>
          <t>Modern Orthopaedics of NJ</t>
        </is>
      </c>
      <c r="D9" s="3" t="inlineStr">
        <is>
          <t>Premera Blue Cross</t>
        </is>
      </c>
      <c r="E9" s="3" t="inlineStr">
        <is>
          <t>U.S. District Court, District of New Jersey</t>
        </is>
      </c>
      <c r="F9" s="3" t="inlineStr">
        <is>
          <t>Federal District</t>
        </is>
      </c>
      <c r="G9" s="3" t="inlineStr">
        <is>
          <t>3d</t>
        </is>
      </c>
      <c r="H9" s="3" t="inlineStr">
        <is>
          <t>2:25-cv-01087</t>
        </is>
      </c>
      <c r="I9" s="4" t="n">
        <v>45964</v>
      </c>
      <c r="J9" s="3" t="inlineStr">
        <is>
          <t>NJ</t>
        </is>
      </c>
      <c r="K9" s="3" t="inlineStr">
        <is>
          <t>NJ</t>
        </is>
      </c>
      <c r="L9" s="9" t="inlineStr">
        <is>
          <t>Negative</t>
        </is>
      </c>
      <c r="M9" s="10">
        <f>IF(L9="Positive",1,IF(L9="Negative",-1,0))</f>
        <v/>
      </c>
      <c r="N9" s="3" t="inlineStr">
        <is>
          <t>Confirmation/enforcement denied</t>
        </is>
      </c>
      <c r="O9" s="3" t="inlineStr">
        <is>
          <t>No</t>
        </is>
      </c>
      <c r="P9" s="3" t="inlineStr">
        <is>
          <t>No</t>
        </is>
      </c>
      <c r="Q9" s="3" t="inlineStr">
        <is>
          <t>No</t>
        </is>
      </c>
      <c r="R9" s="7" t="n"/>
      <c r="S9" s="3" t="inlineStr">
        <is>
          <t>Held §9 of the FAA does not authorize confirmation of NSA IDR awards and the NSA does not create an implied enforcement cause of action.</t>
        </is>
      </c>
      <c r="T9" s="3" t="inlineStr">
        <is>
          <t>District court</t>
        </is>
      </c>
      <c r="U9" s="3" t="inlineStr">
        <is>
          <t>Final district ruling</t>
        </is>
      </c>
      <c r="V9" s="3" t="inlineStr">
        <is>
          <t>No subsequent appellate decision identified in public search</t>
        </is>
      </c>
      <c r="W9" s="8" t="inlineStr">
        <is>
          <t>https://law.justia.com/cases/federal/district-courts/new-jersey/njdce/2%3A2025cv01087/562531/29/</t>
        </is>
      </c>
      <c r="X9" s="3" t="inlineStr">
        <is>
          <t>Direct enforcement</t>
        </is>
      </c>
      <c r="Y9" s="9" t="inlineStr">
        <is>
          <t>Yes</t>
        </is>
      </c>
      <c r="Z9" s="3" t="inlineStr">
        <is>
          <t>Leading D.N.J. decision cited by many subsequent cases.</t>
        </is>
      </c>
      <c r="AA9" s="4" t="n">
        <v>46295</v>
      </c>
    </row>
    <row r="10" ht="36" customHeight="1" s="21">
      <c r="A10" s="2" t="inlineStr">
        <is>
          <t>NSA-009</t>
        </is>
      </c>
      <c r="B10" s="3" t="inlineStr">
        <is>
          <t>PHI Health, LLC v. Keating Auto Group Employee Benefit Plan Trust / Entrust, LLC</t>
        </is>
      </c>
      <c r="C10" s="3" t="inlineStr">
        <is>
          <t>PHI Health, LLC</t>
        </is>
      </c>
      <c r="D10" s="3" t="inlineStr">
        <is>
          <t>Keating Auto Group Employee Benefit Plan Trust / Entrust, LLC</t>
        </is>
      </c>
      <c r="E10" s="3" t="inlineStr">
        <is>
          <t>U.S. District Court, Southern District of Texas</t>
        </is>
      </c>
      <c r="F10" s="3" t="inlineStr">
        <is>
          <t>Federal District</t>
        </is>
      </c>
      <c r="G10" s="3" t="inlineStr">
        <is>
          <t>5th</t>
        </is>
      </c>
      <c r="H10" s="3" t="inlineStr">
        <is>
          <t>4:24-cv-02832</t>
        </is>
      </c>
      <c r="I10" s="4" t="n">
        <v>46002</v>
      </c>
      <c r="J10" s="3" t="inlineStr">
        <is>
          <t>TX</t>
        </is>
      </c>
      <c r="K10" s="3" t="inlineStr">
        <is>
          <t>TX</t>
        </is>
      </c>
      <c r="L10" s="9" t="inlineStr">
        <is>
          <t>Negative</t>
        </is>
      </c>
      <c r="M10" s="10">
        <f>IF(L10="Positive",1,IF(L10="Negative",-1,0))</f>
        <v/>
      </c>
      <c r="N10" s="3" t="inlineStr">
        <is>
          <t>R&amp;R adopted; enforcement dismissed</t>
        </is>
      </c>
      <c r="O10" s="3" t="inlineStr">
        <is>
          <t>No</t>
        </is>
      </c>
      <c r="P10" s="3" t="inlineStr">
        <is>
          <t>No</t>
        </is>
      </c>
      <c r="Q10" s="3" t="inlineStr">
        <is>
          <t>No</t>
        </is>
      </c>
      <c r="R10" s="7" t="n"/>
      <c r="S10" s="3" t="inlineStr">
        <is>
          <t>Adopted recommendation rejecting private enforcement of NSA IDR awards, following Guardian Flight.</t>
        </is>
      </c>
      <c r="T10" s="3" t="inlineStr">
        <is>
          <t>District court</t>
        </is>
      </c>
      <c r="U10" s="3" t="inlineStr">
        <is>
          <t>Final district ruling</t>
        </is>
      </c>
      <c r="V10" s="3" t="inlineStr">
        <is>
          <t>No subsequent appellate decision identified in public search</t>
        </is>
      </c>
      <c r="W10" s="8" t="inlineStr">
        <is>
          <t>https://www.ded.uscourts.gov/sites/ded/files/opinions/24-1378.pdf</t>
        </is>
      </c>
      <c r="X10" s="3" t="inlineStr">
        <is>
          <t>Direct enforcement</t>
        </is>
      </c>
      <c r="Y10" s="9" t="inlineStr">
        <is>
          <t>Yes</t>
        </is>
      </c>
      <c r="Z10" s="3" t="inlineStr">
        <is>
          <t>Primary public link is a later court opinion citing the adopted Texas decision (2025 WL 3617339); verify PACER citation if displaying document link publicly.</t>
        </is>
      </c>
      <c r="AA10" s="4" t="n">
        <v>46295</v>
      </c>
    </row>
    <row r="11" ht="24" customHeight="1" s="21">
      <c r="A11" s="2" t="inlineStr">
        <is>
          <t>NSA-010</t>
        </is>
      </c>
      <c r="B11" s="3" t="inlineStr">
        <is>
          <t>Freeman Pain Institute, P.A. v. Horizon Blue Cross Blue Shield of New Jersey</t>
        </is>
      </c>
      <c r="C11" s="3" t="inlineStr">
        <is>
          <t>Freeman Pain Institute, P.A.</t>
        </is>
      </c>
      <c r="D11" s="3" t="inlineStr">
        <is>
          <t>Horizon Blue Cross Blue Shield of New Jersey</t>
        </is>
      </c>
      <c r="E11" s="3" t="inlineStr">
        <is>
          <t>U.S. District Court, District of New Jersey</t>
        </is>
      </c>
      <c r="F11" s="3" t="inlineStr">
        <is>
          <t>Federal District</t>
        </is>
      </c>
      <c r="G11" s="3" t="inlineStr">
        <is>
          <t>3d</t>
        </is>
      </c>
      <c r="H11" s="3" t="inlineStr">
        <is>
          <t>2:25-cv-02507</t>
        </is>
      </c>
      <c r="I11" s="4" t="n">
        <v>45985</v>
      </c>
      <c r="J11" s="3" t="inlineStr">
        <is>
          <t>NJ</t>
        </is>
      </c>
      <c r="K11" s="3" t="inlineStr">
        <is>
          <t>NJ</t>
        </is>
      </c>
      <c r="L11" s="9" t="inlineStr">
        <is>
          <t>Negative</t>
        </is>
      </c>
      <c r="M11" s="10">
        <f>IF(L11="Positive",1,IF(L11="Negative",-1,0))</f>
        <v/>
      </c>
      <c r="N11" s="3" t="inlineStr">
        <is>
          <t>Confirmation denied / complaint dismissed</t>
        </is>
      </c>
      <c r="O11" s="3" t="inlineStr">
        <is>
          <t>No</t>
        </is>
      </c>
      <c r="P11" s="3" t="inlineStr">
        <is>
          <t>No</t>
        </is>
      </c>
      <c r="Q11" s="3" t="inlineStr">
        <is>
          <t>No</t>
        </is>
      </c>
      <c r="R11" s="7" t="n"/>
      <c r="S11" s="3" t="inlineStr">
        <is>
          <t>Held Congress did not create a private right of action to enforce NSA IDR awards; denied confirmation and dismissed.</t>
        </is>
      </c>
      <c r="T11" s="3" t="inlineStr">
        <is>
          <t>District court</t>
        </is>
      </c>
      <c r="U11" s="3" t="inlineStr">
        <is>
          <t>Final district ruling</t>
        </is>
      </c>
      <c r="V11" s="3" t="inlineStr">
        <is>
          <t>No subsequent appellate decision identified in public search</t>
        </is>
      </c>
      <c r="W11" s="8" t="inlineStr">
        <is>
          <t>https://law.justia.com/cases/federal/district-courts/new-jersey/njdce/2%3A2025cv02507/565759/20/</t>
        </is>
      </c>
      <c r="X11" s="3" t="inlineStr">
        <is>
          <t>Direct enforcement</t>
        </is>
      </c>
      <c r="Y11" s="9" t="inlineStr">
        <is>
          <t>Yes</t>
        </is>
      </c>
      <c r="Z11" s="3" t="inlineStr">
        <is>
          <t>Part of a series of D.N.J. Horizon enforcement decisions.</t>
        </is>
      </c>
      <c r="AA11" s="4" t="n">
        <v>46295</v>
      </c>
    </row>
    <row r="12" ht="24" customHeight="1" s="21">
      <c r="A12" s="2" t="inlineStr">
        <is>
          <t>NSA-011</t>
        </is>
      </c>
      <c r="B12" s="3" t="inlineStr">
        <is>
          <t>Northeast Neurosurgical Associates v. Horizon Blue Cross Blue Shield of New Jersey</t>
        </is>
      </c>
      <c r="C12" s="3" t="inlineStr">
        <is>
          <t>Northeast Neurosurgical Associates</t>
        </is>
      </c>
      <c r="D12" s="3" t="inlineStr">
        <is>
          <t>Horizon Blue Cross Blue Shield of New Jersey</t>
        </is>
      </c>
      <c r="E12" s="3" t="inlineStr">
        <is>
          <t>U.S. District Court, District of New Jersey</t>
        </is>
      </c>
      <c r="F12" s="3" t="inlineStr">
        <is>
          <t>Federal District</t>
        </is>
      </c>
      <c r="G12" s="3" t="inlineStr">
        <is>
          <t>3d</t>
        </is>
      </c>
      <c r="H12" s="3" t="inlineStr">
        <is>
          <t>2:25-cv-06288</t>
        </is>
      </c>
      <c r="I12" s="4" t="n">
        <v>45986</v>
      </c>
      <c r="J12" s="3" t="inlineStr">
        <is>
          <t>NJ</t>
        </is>
      </c>
      <c r="K12" s="3" t="inlineStr">
        <is>
          <t>NJ</t>
        </is>
      </c>
      <c r="L12" s="9" t="inlineStr">
        <is>
          <t>Negative</t>
        </is>
      </c>
      <c r="M12" s="10">
        <f>IF(L12="Positive",1,IF(L12="Negative",-1,0))</f>
        <v/>
      </c>
      <c r="N12" s="3" t="inlineStr">
        <is>
          <t>Confirmation/enforcement denied</t>
        </is>
      </c>
      <c r="O12" s="3" t="inlineStr">
        <is>
          <t>No</t>
        </is>
      </c>
      <c r="P12" s="3" t="inlineStr">
        <is>
          <t>No</t>
        </is>
      </c>
      <c r="Q12" s="3" t="inlineStr">
        <is>
          <t>No</t>
        </is>
      </c>
      <c r="R12" s="7" t="n"/>
      <c r="S12" s="3" t="inlineStr">
        <is>
          <t>Rejected private enforcement/confirmation of NSA IDR award.</t>
        </is>
      </c>
      <c r="T12" s="3" t="inlineStr">
        <is>
          <t>District court</t>
        </is>
      </c>
      <c r="U12" s="3" t="inlineStr">
        <is>
          <t>Final district ruling</t>
        </is>
      </c>
      <c r="V12" s="3" t="inlineStr">
        <is>
          <t>No subsequent appellate decision identified in public search</t>
        </is>
      </c>
      <c r="W12" s="8" t="inlineStr">
        <is>
          <t>https://law.justia.com/cases/federal/district-courts/new-jersey/njdce/2%3A2025cv06288/571096/17/</t>
        </is>
      </c>
      <c r="X12" s="3" t="inlineStr">
        <is>
          <t>Direct enforcement</t>
        </is>
      </c>
      <c r="Y12" s="9" t="inlineStr">
        <is>
          <t>Yes</t>
        </is>
      </c>
      <c r="Z12" s="3" t="inlineStr">
        <is>
          <t>Part of a series of D.N.J. Horizon enforcement decisions.</t>
        </is>
      </c>
      <c r="AA12" s="4" t="n">
        <v>46295</v>
      </c>
    </row>
    <row r="13" ht="24" customHeight="1" s="21">
      <c r="A13" s="2" t="inlineStr">
        <is>
          <t>NSA-012</t>
        </is>
      </c>
      <c r="B13" s="3" t="inlineStr">
        <is>
          <t>Garden State Pain Management v. Horizon Blue Cross Blue Shield of New Jersey</t>
        </is>
      </c>
      <c r="C13" s="3" t="inlineStr">
        <is>
          <t>Garden State Pain Management</t>
        </is>
      </c>
      <c r="D13" s="3" t="inlineStr">
        <is>
          <t>Horizon Blue Cross Blue Shield of New Jersey</t>
        </is>
      </c>
      <c r="E13" s="3" t="inlineStr">
        <is>
          <t>U.S. District Court, District of New Jersey</t>
        </is>
      </c>
      <c r="F13" s="3" t="inlineStr">
        <is>
          <t>Federal District</t>
        </is>
      </c>
      <c r="G13" s="3" t="inlineStr">
        <is>
          <t>3d</t>
        </is>
      </c>
      <c r="H13" s="3" t="inlineStr">
        <is>
          <t>2:25-cv-05679</t>
        </is>
      </c>
      <c r="I13" s="4" t="n">
        <v>45992</v>
      </c>
      <c r="J13" s="3" t="inlineStr">
        <is>
          <t>NJ</t>
        </is>
      </c>
      <c r="K13" s="3" t="inlineStr">
        <is>
          <t>NJ</t>
        </is>
      </c>
      <c r="L13" s="9" t="inlineStr">
        <is>
          <t>Negative</t>
        </is>
      </c>
      <c r="M13" s="10">
        <f>IF(L13="Positive",1,IF(L13="Negative",-1,0))</f>
        <v/>
      </c>
      <c r="N13" s="3" t="inlineStr">
        <is>
          <t>Confirmation/enforcement denied</t>
        </is>
      </c>
      <c r="O13" s="3" t="inlineStr">
        <is>
          <t>No</t>
        </is>
      </c>
      <c r="P13" s="3" t="inlineStr">
        <is>
          <t>No</t>
        </is>
      </c>
      <c r="Q13" s="3" t="inlineStr">
        <is>
          <t>No</t>
        </is>
      </c>
      <c r="R13" s="7" t="n"/>
      <c r="S13" s="3" t="inlineStr">
        <is>
          <t>Rejected private enforcement/confirmation of NSA IDR award.</t>
        </is>
      </c>
      <c r="T13" s="3" t="inlineStr">
        <is>
          <t>District court</t>
        </is>
      </c>
      <c r="U13" s="3" t="inlineStr">
        <is>
          <t>Final district ruling</t>
        </is>
      </c>
      <c r="V13" s="3" t="inlineStr">
        <is>
          <t>No subsequent appellate decision identified in public search</t>
        </is>
      </c>
      <c r="W13" s="8" t="inlineStr">
        <is>
          <t>https://law.justia.com/cases/federal/district-courts/new-jersey/njdce/2%3A2025cv05679/570355/21/</t>
        </is>
      </c>
      <c r="X13" s="3" t="inlineStr">
        <is>
          <t>Direct enforcement</t>
        </is>
      </c>
      <c r="Y13" s="9" t="inlineStr">
        <is>
          <t>Yes</t>
        </is>
      </c>
      <c r="Z13" s="3" t="inlineStr">
        <is>
          <t>Part of a series of D.N.J. Horizon enforcement decisions.</t>
        </is>
      </c>
      <c r="AA13" s="4" t="n">
        <v>46295</v>
      </c>
    </row>
    <row r="14" ht="24" customHeight="1" s="21">
      <c r="A14" s="2" t="inlineStr">
        <is>
          <t>NSA-013</t>
        </is>
      </c>
      <c r="B14" s="3" t="inlineStr">
        <is>
          <t>Complete Medical Wellness LLC v. Horizon Blue Cross Blue Shield of New Jersey</t>
        </is>
      </c>
      <c r="C14" s="3" t="inlineStr">
        <is>
          <t>Complete Medical Wellness LLC</t>
        </is>
      </c>
      <c r="D14" s="3" t="inlineStr">
        <is>
          <t>Horizon Blue Cross Blue Shield of New Jersey</t>
        </is>
      </c>
      <c r="E14" s="3" t="inlineStr">
        <is>
          <t>U.S. District Court, District of New Jersey</t>
        </is>
      </c>
      <c r="F14" s="3" t="inlineStr">
        <is>
          <t>Federal District</t>
        </is>
      </c>
      <c r="G14" s="3" t="inlineStr">
        <is>
          <t>3d</t>
        </is>
      </c>
      <c r="H14" s="3" t="inlineStr">
        <is>
          <t>2:25-cv-04177</t>
        </is>
      </c>
      <c r="I14" s="4" t="n">
        <v>45992</v>
      </c>
      <c r="J14" s="3" t="inlineStr">
        <is>
          <t>NJ</t>
        </is>
      </c>
      <c r="K14" s="3" t="inlineStr">
        <is>
          <t>NJ</t>
        </is>
      </c>
      <c r="L14" s="9" t="inlineStr">
        <is>
          <t>Negative</t>
        </is>
      </c>
      <c r="M14" s="10">
        <f>IF(L14="Positive",1,IF(L14="Negative",-1,0))</f>
        <v/>
      </c>
      <c r="N14" s="3" t="inlineStr">
        <is>
          <t>Confirmation/enforcement denied</t>
        </is>
      </c>
      <c r="O14" s="3" t="inlineStr">
        <is>
          <t>No</t>
        </is>
      </c>
      <c r="P14" s="3" t="inlineStr">
        <is>
          <t>No</t>
        </is>
      </c>
      <c r="Q14" s="3" t="inlineStr">
        <is>
          <t>No</t>
        </is>
      </c>
      <c r="R14" s="7" t="n"/>
      <c r="S14" s="3" t="inlineStr">
        <is>
          <t>Rejected private enforcement/confirmation of NSA IDR award.</t>
        </is>
      </c>
      <c r="T14" s="3" t="inlineStr">
        <is>
          <t>District court</t>
        </is>
      </c>
      <c r="U14" s="3" t="inlineStr">
        <is>
          <t>Final district ruling</t>
        </is>
      </c>
      <c r="V14" s="3" t="inlineStr">
        <is>
          <t>No subsequent appellate decision identified in public search</t>
        </is>
      </c>
      <c r="W14" s="8" t="inlineStr">
        <is>
          <t>https://law.justia.com/cases/federal/district-courts/new-jersey/njdce/2%3A2025cv04177/568468/17/</t>
        </is>
      </c>
      <c r="X14" s="3" t="inlineStr">
        <is>
          <t>Direct enforcement</t>
        </is>
      </c>
      <c r="Y14" s="9" t="inlineStr">
        <is>
          <t>Yes</t>
        </is>
      </c>
      <c r="Z14" s="3" t="inlineStr">
        <is>
          <t>Part of a series of D.N.J. Horizon enforcement decisions.</t>
        </is>
      </c>
      <c r="AA14" s="4" t="n">
        <v>46295</v>
      </c>
    </row>
    <row r="15" ht="24" customHeight="1" s="21">
      <c r="A15" s="2" t="inlineStr">
        <is>
          <t>NSA-014</t>
        </is>
      </c>
      <c r="B15" s="3" t="inlineStr">
        <is>
          <t>Tamagnini v. Horizon Blue Cross Blue Shield of New Jersey</t>
        </is>
      </c>
      <c r="C15" s="3" t="inlineStr">
        <is>
          <t>Tamagnini</t>
        </is>
      </c>
      <c r="D15" s="3" t="inlineStr">
        <is>
          <t>Horizon Blue Cross Blue Shield of New Jersey</t>
        </is>
      </c>
      <c r="E15" s="3" t="inlineStr">
        <is>
          <t>U.S. District Court, District of New Jersey</t>
        </is>
      </c>
      <c r="F15" s="3" t="inlineStr">
        <is>
          <t>Federal District</t>
        </is>
      </c>
      <c r="G15" s="3" t="inlineStr">
        <is>
          <t>3d</t>
        </is>
      </c>
      <c r="H15" s="3" t="inlineStr">
        <is>
          <t>2:25-cv-02022</t>
        </is>
      </c>
      <c r="I15" s="4" t="n">
        <v>45993</v>
      </c>
      <c r="J15" s="3" t="inlineStr">
        <is>
          <t>NJ</t>
        </is>
      </c>
      <c r="K15" s="3" t="inlineStr">
        <is>
          <t>NJ</t>
        </is>
      </c>
      <c r="L15" s="9" t="inlineStr">
        <is>
          <t>Negative</t>
        </is>
      </c>
      <c r="M15" s="10">
        <f>IF(L15="Positive",1,IF(L15="Negative",-1,0))</f>
        <v/>
      </c>
      <c r="N15" s="3" t="inlineStr">
        <is>
          <t>Confirmation/enforcement denied</t>
        </is>
      </c>
      <c r="O15" s="3" t="inlineStr">
        <is>
          <t>No</t>
        </is>
      </c>
      <c r="P15" s="3" t="inlineStr">
        <is>
          <t>No</t>
        </is>
      </c>
      <c r="Q15" s="3" t="inlineStr">
        <is>
          <t>No</t>
        </is>
      </c>
      <c r="R15" s="7" t="n"/>
      <c r="S15" s="3" t="inlineStr">
        <is>
          <t>Rejected private enforcement/confirmation of NSA IDR award.</t>
        </is>
      </c>
      <c r="T15" s="3" t="inlineStr">
        <is>
          <t>District court</t>
        </is>
      </c>
      <c r="U15" s="3" t="inlineStr">
        <is>
          <t>Final district ruling</t>
        </is>
      </c>
      <c r="V15" s="3" t="inlineStr">
        <is>
          <t>No subsequent appellate decision identified in public search</t>
        </is>
      </c>
      <c r="W15" s="8" t="inlineStr">
        <is>
          <t>https://law.justia.com/cases/federal/district-courts/new-jersey/njdce/2%3A2025cv02022/564436/16/</t>
        </is>
      </c>
      <c r="X15" s="3" t="inlineStr">
        <is>
          <t>Direct enforcement</t>
        </is>
      </c>
      <c r="Y15" s="9" t="inlineStr">
        <is>
          <t>Yes</t>
        </is>
      </c>
      <c r="Z15" s="3" t="inlineStr">
        <is>
          <t>Part of a series of D.N.J. Horizon enforcement decisions.</t>
        </is>
      </c>
      <c r="AA15" s="4" t="n">
        <v>46295</v>
      </c>
    </row>
    <row r="16" ht="24" customHeight="1" s="21">
      <c r="A16" s="2" t="inlineStr">
        <is>
          <t>NSA-015</t>
        </is>
      </c>
      <c r="B16" s="3" t="inlineStr">
        <is>
          <t>Douglas Spiel, M.D., P.A. v. Horizon Blue Cross Blue Shield of New Jersey</t>
        </is>
      </c>
      <c r="C16" s="3" t="inlineStr">
        <is>
          <t>Douglas Spiel, M.D., P.A.</t>
        </is>
      </c>
      <c r="D16" s="3" t="inlineStr">
        <is>
          <t>Horizon Blue Cross Blue Shield of New Jersey</t>
        </is>
      </c>
      <c r="E16" s="3" t="inlineStr">
        <is>
          <t>U.S. District Court, District of New Jersey</t>
        </is>
      </c>
      <c r="F16" s="3" t="inlineStr">
        <is>
          <t>Federal District</t>
        </is>
      </c>
      <c r="G16" s="3" t="inlineStr">
        <is>
          <t>3d</t>
        </is>
      </c>
      <c r="H16" s="3" t="inlineStr">
        <is>
          <t>2:25-cv-14769</t>
        </is>
      </c>
      <c r="I16" s="4" t="n">
        <v>45993</v>
      </c>
      <c r="J16" s="3" t="inlineStr">
        <is>
          <t>NJ</t>
        </is>
      </c>
      <c r="K16" s="3" t="inlineStr">
        <is>
          <t>NJ</t>
        </is>
      </c>
      <c r="L16" s="9" t="inlineStr">
        <is>
          <t>Negative</t>
        </is>
      </c>
      <c r="M16" s="10">
        <f>IF(L16="Positive",1,IF(L16="Negative",-1,0))</f>
        <v/>
      </c>
      <c r="N16" s="3" t="inlineStr">
        <is>
          <t>Confirmation/enforcement denied</t>
        </is>
      </c>
      <c r="O16" s="3" t="inlineStr">
        <is>
          <t>No</t>
        </is>
      </c>
      <c r="P16" s="3" t="inlineStr">
        <is>
          <t>No</t>
        </is>
      </c>
      <c r="Q16" s="3" t="inlineStr">
        <is>
          <t>No</t>
        </is>
      </c>
      <c r="R16" s="7" t="n"/>
      <c r="S16" s="3" t="inlineStr">
        <is>
          <t>Rejected private enforcement/confirmation of NSA IDR award.</t>
        </is>
      </c>
      <c r="T16" s="3" t="inlineStr">
        <is>
          <t>District court</t>
        </is>
      </c>
      <c r="U16" s="3" t="inlineStr">
        <is>
          <t>Final district ruling</t>
        </is>
      </c>
      <c r="V16" s="3" t="inlineStr">
        <is>
          <t>No subsequent appellate decision identified in public search</t>
        </is>
      </c>
      <c r="W16" s="8" t="inlineStr">
        <is>
          <t>https://law.justia.com/cases/federal/district-courts/new-jersey/njdce/2%3A2025cv14769/581737/14/</t>
        </is>
      </c>
      <c r="X16" s="3" t="inlineStr">
        <is>
          <t>Direct enforcement</t>
        </is>
      </c>
      <c r="Y16" s="9" t="inlineStr">
        <is>
          <t>Yes</t>
        </is>
      </c>
      <c r="Z16" s="3" t="inlineStr">
        <is>
          <t>Part of a series of D.N.J. Horizon enforcement decisions.</t>
        </is>
      </c>
      <c r="AA16" s="4" t="n">
        <v>46295</v>
      </c>
    </row>
    <row r="17" ht="24" customHeight="1" s="21">
      <c r="A17" s="2" t="inlineStr">
        <is>
          <t>NSA-016</t>
        </is>
      </c>
      <c r="B17" s="3" t="inlineStr">
        <is>
          <t>Interventional Pain Management v. Horizon Blue Cross Blue Shield of New Jersey</t>
        </is>
      </c>
      <c r="C17" s="3" t="inlineStr">
        <is>
          <t>Interventional Pain Management</t>
        </is>
      </c>
      <c r="D17" s="3" t="inlineStr">
        <is>
          <t>Horizon Blue Cross Blue Shield of New Jersey</t>
        </is>
      </c>
      <c r="E17" s="3" t="inlineStr">
        <is>
          <t>U.S. District Court, District of New Jersey</t>
        </is>
      </c>
      <c r="F17" s="3" t="inlineStr">
        <is>
          <t>Federal District</t>
        </is>
      </c>
      <c r="G17" s="3" t="inlineStr">
        <is>
          <t>3d</t>
        </is>
      </c>
      <c r="H17" s="3" t="inlineStr">
        <is>
          <t>2:25-cv-12032</t>
        </is>
      </c>
      <c r="I17" s="4" t="n">
        <v>45994</v>
      </c>
      <c r="J17" s="3" t="inlineStr">
        <is>
          <t>NJ</t>
        </is>
      </c>
      <c r="K17" s="3" t="inlineStr">
        <is>
          <t>NJ</t>
        </is>
      </c>
      <c r="L17" s="9" t="inlineStr">
        <is>
          <t>Negative</t>
        </is>
      </c>
      <c r="M17" s="10">
        <f>IF(L17="Positive",1,IF(L17="Negative",-1,0))</f>
        <v/>
      </c>
      <c r="N17" s="3" t="inlineStr">
        <is>
          <t>Confirmation/enforcement denied</t>
        </is>
      </c>
      <c r="O17" s="3" t="inlineStr">
        <is>
          <t>No</t>
        </is>
      </c>
      <c r="P17" s="3" t="inlineStr">
        <is>
          <t>No</t>
        </is>
      </c>
      <c r="Q17" s="3" t="inlineStr">
        <is>
          <t>No</t>
        </is>
      </c>
      <c r="R17" s="7" t="n"/>
      <c r="S17" s="3" t="inlineStr">
        <is>
          <t>Rejected private enforcement/confirmation of NSA IDR award.</t>
        </is>
      </c>
      <c r="T17" s="3" t="inlineStr">
        <is>
          <t>District court</t>
        </is>
      </c>
      <c r="U17" s="3" t="inlineStr">
        <is>
          <t>Final district ruling</t>
        </is>
      </c>
      <c r="V17" s="3" t="inlineStr">
        <is>
          <t>No subsequent appellate decision identified in public search</t>
        </is>
      </c>
      <c r="W17" s="8" t="inlineStr">
        <is>
          <t>https://law.justia.com/cases/federal/district-courts/new-jersey/njdce/2%3A2025cv12032/577453/18/</t>
        </is>
      </c>
      <c r="X17" s="3" t="inlineStr">
        <is>
          <t>Direct enforcement</t>
        </is>
      </c>
      <c r="Y17" s="9" t="inlineStr">
        <is>
          <t>Yes</t>
        </is>
      </c>
      <c r="Z17" s="3" t="inlineStr">
        <is>
          <t>Part of a series of D.N.J. Horizon enforcement decisions.</t>
        </is>
      </c>
      <c r="AA17" s="4" t="n">
        <v>46295</v>
      </c>
    </row>
    <row r="18" ht="24" customHeight="1" s="21">
      <c r="A18" s="2" t="inlineStr">
        <is>
          <t>NSA-017</t>
        </is>
      </c>
      <c r="B18" s="3" t="inlineStr">
        <is>
          <t>T.V. Seshan, M.D., P.C. v. Blue Cross Blue Shield Association et al.</t>
        </is>
      </c>
      <c r="C18" s="3" t="inlineStr">
        <is>
          <t>T.V. Seshan, M.D., P.C.</t>
        </is>
      </c>
      <c r="D18" s="3" t="inlineStr">
        <is>
          <t>Blue Cross Blue Shield entities</t>
        </is>
      </c>
      <c r="E18" s="3" t="inlineStr">
        <is>
          <t>U.S. District Court, Southern District of New York</t>
        </is>
      </c>
      <c r="F18" s="3" t="inlineStr">
        <is>
          <t>Federal District</t>
        </is>
      </c>
      <c r="G18" s="3" t="inlineStr">
        <is>
          <t>2d</t>
        </is>
      </c>
      <c r="H18" s="3" t="inlineStr">
        <is>
          <t>25 Civ. 499 / 1255 / 1264 / 2049</t>
        </is>
      </c>
      <c r="I18" s="4" t="n">
        <v>45996</v>
      </c>
      <c r="J18" s="3" t="inlineStr">
        <is>
          <t>NY</t>
        </is>
      </c>
      <c r="K18" s="3" t="inlineStr">
        <is>
          <t>NY</t>
        </is>
      </c>
      <c r="L18" s="9" t="inlineStr">
        <is>
          <t>Negative</t>
        </is>
      </c>
      <c r="M18" s="10">
        <f>IF(L18="Positive",1,IF(L18="Negative",-1,0))</f>
        <v/>
      </c>
      <c r="N18" s="3" t="inlineStr">
        <is>
          <t>Motions to dismiss granted / confirmation denied</t>
        </is>
      </c>
      <c r="O18" s="3" t="inlineStr">
        <is>
          <t>No</t>
        </is>
      </c>
      <c r="P18" s="3" t="inlineStr">
        <is>
          <t>No</t>
        </is>
      </c>
      <c r="Q18" s="3" t="inlineStr">
        <is>
          <t>No</t>
        </is>
      </c>
      <c r="R18" s="7" t="n"/>
      <c r="S18" s="3" t="inlineStr">
        <is>
          <t>Granted dismissal and denied motions to confirm NSA IDR awards in consolidated matters.</t>
        </is>
      </c>
      <c r="T18" s="3" t="inlineStr">
        <is>
          <t>District court</t>
        </is>
      </c>
      <c r="U18" s="3" t="inlineStr">
        <is>
          <t>Final district ruling</t>
        </is>
      </c>
      <c r="V18" s="3" t="inlineStr">
        <is>
          <t>No subsequent appellate decision identified in public search</t>
        </is>
      </c>
      <c r="W18" s="8" t="inlineStr">
        <is>
          <t>https://law.justia.com/cases/federal/district-courts/new-york/nysdce/7%3A2025cv00499/635237/49/</t>
        </is>
      </c>
      <c r="X18" s="3" t="inlineStr">
        <is>
          <t>Direct enforcement</t>
        </is>
      </c>
      <c r="Y18" s="9" t="inlineStr">
        <is>
          <t>Yes</t>
        </is>
      </c>
      <c r="Z18" s="3" t="inlineStr">
        <is>
          <t>Consolidated disposition; analyst may count as one decision event rather than four cases.</t>
        </is>
      </c>
      <c r="AA18" s="4" t="n">
        <v>46295</v>
      </c>
    </row>
    <row r="19" ht="24" customHeight="1" s="21">
      <c r="A19" s="2" t="inlineStr">
        <is>
          <t>NSA-018</t>
        </is>
      </c>
      <c r="B19" s="3" t="inlineStr">
        <is>
          <t>Mitchell F. Reiter, M.D., P.C. v. Horizon Blue Cross Blue Shield of New Jersey</t>
        </is>
      </c>
      <c r="C19" s="3" t="inlineStr">
        <is>
          <t>Mitchell F. Reiter, M.D., P.C.</t>
        </is>
      </c>
      <c r="D19" s="3" t="inlineStr">
        <is>
          <t>Horizon Blue Cross Blue Shield of New Jersey</t>
        </is>
      </c>
      <c r="E19" s="3" t="inlineStr">
        <is>
          <t>U.S. District Court, District of New Jersey</t>
        </is>
      </c>
      <c r="F19" s="3" t="inlineStr">
        <is>
          <t>Federal District</t>
        </is>
      </c>
      <c r="G19" s="3" t="inlineStr">
        <is>
          <t>3d</t>
        </is>
      </c>
      <c r="H19" s="3" t="inlineStr">
        <is>
          <t>2:25-cv-12526</t>
        </is>
      </c>
      <c r="I19" s="4" t="n">
        <v>45999</v>
      </c>
      <c r="J19" s="3" t="inlineStr">
        <is>
          <t>NJ</t>
        </is>
      </c>
      <c r="K19" s="3" t="inlineStr">
        <is>
          <t>NJ</t>
        </is>
      </c>
      <c r="L19" s="9" t="inlineStr">
        <is>
          <t>Negative</t>
        </is>
      </c>
      <c r="M19" s="10">
        <f>IF(L19="Positive",1,IF(L19="Negative",-1,0))</f>
        <v/>
      </c>
      <c r="N19" s="3" t="inlineStr">
        <is>
          <t>Dismissal granted / confirmation denied</t>
        </is>
      </c>
      <c r="O19" s="3" t="inlineStr">
        <is>
          <t>No</t>
        </is>
      </c>
      <c r="P19" s="3" t="inlineStr">
        <is>
          <t>No</t>
        </is>
      </c>
      <c r="Q19" s="3" t="inlineStr">
        <is>
          <t>No</t>
        </is>
      </c>
      <c r="R19" s="7" t="n"/>
      <c r="S19" s="3" t="inlineStr">
        <is>
          <t>Granted payer motion to dismiss and denied provider cross-motion to confirm the NSA IDR award.</t>
        </is>
      </c>
      <c r="T19" s="3" t="inlineStr">
        <is>
          <t>District court</t>
        </is>
      </c>
      <c r="U19" s="3" t="inlineStr">
        <is>
          <t>Final district ruling</t>
        </is>
      </c>
      <c r="V19" s="3" t="inlineStr">
        <is>
          <t>No subsequent appellate decision identified in public search</t>
        </is>
      </c>
      <c r="W19" s="8" t="inlineStr">
        <is>
          <t>https://cases.justia.com/federal/district-courts/new-jersey/njdce/2%3A2025cv12526/578331/13/0.pdf</t>
        </is>
      </c>
      <c r="X19" s="3" t="inlineStr">
        <is>
          <t>Direct enforcement</t>
        </is>
      </c>
      <c r="Y19" s="9" t="inlineStr">
        <is>
          <t>Yes</t>
        </is>
      </c>
      <c r="Z19" s="3" t="inlineStr">
        <is>
          <t>Part of a series of D.N.J. Horizon enforcement decisions.</t>
        </is>
      </c>
      <c r="AA19" s="4" t="n">
        <v>46295</v>
      </c>
    </row>
    <row r="20" ht="24" customHeight="1" s="21">
      <c r="A20" s="2" t="inlineStr">
        <is>
          <t>NSA-019</t>
        </is>
      </c>
      <c r="B20" s="3" t="inlineStr">
        <is>
          <t>Worldwide Aircraft Services, Inc. d/b/a Jet ICU v. Freedom Life Insurance Co.</t>
        </is>
      </c>
      <c r="C20" s="3" t="inlineStr">
        <is>
          <t>Jet ICU</t>
        </is>
      </c>
      <c r="D20" s="3" t="inlineStr">
        <is>
          <t>Freedom Life Insurance Co.</t>
        </is>
      </c>
      <c r="E20" s="3" t="inlineStr">
        <is>
          <t>U.S. District Court, Middle District of Florida</t>
        </is>
      </c>
      <c r="F20" s="3" t="inlineStr">
        <is>
          <t>Federal District</t>
        </is>
      </c>
      <c r="G20" s="3" t="inlineStr">
        <is>
          <t>11th</t>
        </is>
      </c>
      <c r="H20" s="3" t="inlineStr">
        <is>
          <t>8:25-cv-01158</t>
        </is>
      </c>
      <c r="I20" s="4" t="n">
        <v>46002</v>
      </c>
      <c r="J20" s="3" t="inlineStr">
        <is>
          <t>FL</t>
        </is>
      </c>
      <c r="K20" s="3" t="inlineStr">
        <is>
          <t>FL</t>
        </is>
      </c>
      <c r="L20" s="9" t="inlineStr">
        <is>
          <t>Negative</t>
        </is>
      </c>
      <c r="M20" s="10">
        <f>IF(L20="Positive",1,IF(L20="Negative",-1,0))</f>
        <v/>
      </c>
      <c r="N20" s="3" t="inlineStr">
        <is>
          <t>Petition dismissed</t>
        </is>
      </c>
      <c r="O20" s="3" t="inlineStr">
        <is>
          <t>No / no federal cause</t>
        </is>
      </c>
      <c r="P20" s="3" t="inlineStr">
        <is>
          <t>No independent jurisdiction</t>
        </is>
      </c>
      <c r="Q20" s="3" t="inlineStr">
        <is>
          <t>No</t>
        </is>
      </c>
      <c r="R20" s="7" t="n"/>
      <c r="S20" s="3" t="inlineStr">
        <is>
          <t>Dismissed provider's confirmation action for lack of subject-matter jurisdiction.</t>
        </is>
      </c>
      <c r="T20" s="3" t="inlineStr">
        <is>
          <t>District court</t>
        </is>
      </c>
      <c r="U20" s="3" t="inlineStr">
        <is>
          <t>Final district ruling</t>
        </is>
      </c>
      <c r="V20" s="3" t="inlineStr">
        <is>
          <t>Dismissed without prejudice. Provider appealed to the Eleventh Circuit on 1/5/2026; district case stayed (see Pending Cases).</t>
        </is>
      </c>
      <c r="W20" s="8" t="inlineStr">
        <is>
          <t>https://law.justia.com/cases/federal/district-courts/florida/flmdce/8%3A2025cv01158/441542/50/</t>
        </is>
      </c>
      <c r="X20" s="3" t="inlineStr">
        <is>
          <t>Direct enforcement</t>
        </is>
      </c>
      <c r="Y20" s="9" t="inlineStr">
        <is>
          <t>Yes</t>
        </is>
      </c>
      <c r="Z20" s="3" t="inlineStr">
        <is>
          <t>Same provider had a positive 2024 GeoBlue confirmation decision, illustrating jurisdiction/posture differences.</t>
        </is>
      </c>
      <c r="AA20" s="4" t="n">
        <v>46311</v>
      </c>
    </row>
    <row r="21" ht="24" customHeight="1" s="21">
      <c r="A21" s="2" t="inlineStr">
        <is>
          <t>NSA-020</t>
        </is>
      </c>
      <c r="B21" s="3" t="inlineStr">
        <is>
          <t>North Jersey Neurosurgical Associates, P.A. v. Horizon Blue Cross Blue Shield of New Jersey</t>
        </is>
      </c>
      <c r="C21" s="3" t="inlineStr">
        <is>
          <t>North Jersey Neurosurgical Associates, P.A.</t>
        </is>
      </c>
      <c r="D21" s="3" t="inlineStr">
        <is>
          <t>Horizon Blue Cross Blue Shield of New Jersey</t>
        </is>
      </c>
      <c r="E21" s="3" t="inlineStr">
        <is>
          <t>U.S. District Court, District of New Jersey</t>
        </is>
      </c>
      <c r="F21" s="3" t="inlineStr">
        <is>
          <t>Federal District</t>
        </is>
      </c>
      <c r="G21" s="3" t="inlineStr">
        <is>
          <t>3d</t>
        </is>
      </c>
      <c r="H21" s="3" t="inlineStr">
        <is>
          <t>2:25-cv-12593</t>
        </is>
      </c>
      <c r="I21" s="4" t="n">
        <v>46009</v>
      </c>
      <c r="J21" s="3" t="inlineStr">
        <is>
          <t>NJ</t>
        </is>
      </c>
      <c r="K21" s="3" t="inlineStr">
        <is>
          <t>NJ</t>
        </is>
      </c>
      <c r="L21" s="9" t="inlineStr">
        <is>
          <t>Negative</t>
        </is>
      </c>
      <c r="M21" s="10">
        <f>IF(L21="Positive",1,IF(L21="Negative",-1,0))</f>
        <v/>
      </c>
      <c r="N21" s="3" t="inlineStr">
        <is>
          <t>Enforcement action dismissed</t>
        </is>
      </c>
      <c r="O21" s="3" t="inlineStr">
        <is>
          <t>No</t>
        </is>
      </c>
      <c r="P21" s="3" t="inlineStr">
        <is>
          <t>No</t>
        </is>
      </c>
      <c r="Q21" s="3" t="inlineStr">
        <is>
          <t>No</t>
        </is>
      </c>
      <c r="R21" s="7" t="n">
        <v>299232.67</v>
      </c>
      <c r="S21" s="3" t="inlineStr">
        <is>
          <t>Dismissed action seeking enforcement of NSA IDR award, following Modern Orthopaedics.</t>
        </is>
      </c>
      <c r="T21" s="3" t="inlineStr">
        <is>
          <t>District court</t>
        </is>
      </c>
      <c r="U21" s="3" t="inlineStr">
        <is>
          <t>Final district ruling</t>
        </is>
      </c>
      <c r="V21" s="3" t="inlineStr">
        <is>
          <t>Dismissed with prejudice</t>
        </is>
      </c>
      <c r="W21" s="8" t="inlineStr">
        <is>
          <t>https://law.justia.com/cases/federal/district-courts/new-jersey/njdce/2%3A2025cv12593/578403/18/</t>
        </is>
      </c>
      <c r="X21" s="3" t="inlineStr">
        <is>
          <t>Direct enforcement</t>
        </is>
      </c>
      <c r="Y21" s="9" t="inlineStr">
        <is>
          <t>Yes</t>
        </is>
      </c>
      <c r="Z21" s="3" t="inlineStr">
        <is>
          <t>Award amount reflected in public decision.</t>
        </is>
      </c>
      <c r="AA21" s="4" t="n">
        <v>46295</v>
      </c>
    </row>
    <row r="22" ht="24" customHeight="1" s="21">
      <c r="A22" s="2" t="inlineStr">
        <is>
          <t>NSA-021</t>
        </is>
      </c>
      <c r="B22" s="3" t="inlineStr">
        <is>
          <t>Comprehensive OBGYN, P.A. v. Horizon Blue Cross Blue Shield of New Jersey</t>
        </is>
      </c>
      <c r="C22" s="3" t="inlineStr">
        <is>
          <t>Comprehensive OBGYN, P.A.</t>
        </is>
      </c>
      <c r="D22" s="3" t="inlineStr">
        <is>
          <t>Horizon Blue Cross Blue Shield of New Jersey</t>
        </is>
      </c>
      <c r="E22" s="3" t="inlineStr">
        <is>
          <t>U.S. District Court, District of New Jersey</t>
        </is>
      </c>
      <c r="F22" s="3" t="inlineStr">
        <is>
          <t>Federal District</t>
        </is>
      </c>
      <c r="G22" s="3" t="inlineStr">
        <is>
          <t>3d</t>
        </is>
      </c>
      <c r="H22" s="3" t="inlineStr">
        <is>
          <t>2:25-cv-12682</t>
        </is>
      </c>
      <c r="I22" s="4" t="n">
        <v>46009</v>
      </c>
      <c r="J22" s="3" t="inlineStr">
        <is>
          <t>NJ</t>
        </is>
      </c>
      <c r="K22" s="3" t="inlineStr">
        <is>
          <t>NJ</t>
        </is>
      </c>
      <c r="L22" s="9" t="inlineStr">
        <is>
          <t>Negative</t>
        </is>
      </c>
      <c r="M22" s="10">
        <f>IF(L22="Positive",1,IF(L22="Negative",-1,0))</f>
        <v/>
      </c>
      <c r="N22" s="3" t="inlineStr">
        <is>
          <t>Enforcement action dismissed</t>
        </is>
      </c>
      <c r="O22" s="3" t="inlineStr">
        <is>
          <t>No</t>
        </is>
      </c>
      <c r="P22" s="3" t="inlineStr">
        <is>
          <t>No</t>
        </is>
      </c>
      <c r="Q22" s="3" t="inlineStr">
        <is>
          <t>No</t>
        </is>
      </c>
      <c r="R22" s="7" t="n">
        <v>17127.88</v>
      </c>
      <c r="S22" s="3" t="inlineStr">
        <is>
          <t>Dismissed action seeking enforcement of NSA IDR award.</t>
        </is>
      </c>
      <c r="T22" s="3" t="inlineStr">
        <is>
          <t>District court</t>
        </is>
      </c>
      <c r="U22" s="3" t="inlineStr">
        <is>
          <t>Final district ruling</t>
        </is>
      </c>
      <c r="V22" s="3" t="inlineStr">
        <is>
          <t>No subsequent appellate decision identified in public search</t>
        </is>
      </c>
      <c r="W22" s="8" t="inlineStr">
        <is>
          <t>https://law.justia.com/cases/federal/district-courts/new-jersey/njdce/2%3A2025cv12682/578514/20/</t>
        </is>
      </c>
      <c r="X22" s="3" t="inlineStr">
        <is>
          <t>Direct enforcement</t>
        </is>
      </c>
      <c r="Y22" s="9" t="inlineStr">
        <is>
          <t>Yes</t>
        </is>
      </c>
      <c r="Z22" s="3" t="inlineStr">
        <is>
          <t>Award amount reflected in public decision.</t>
        </is>
      </c>
      <c r="AA22" s="4" t="n">
        <v>46295</v>
      </c>
    </row>
    <row r="23" ht="24" customHeight="1" s="21">
      <c r="A23" s="2" t="inlineStr">
        <is>
          <t>NSA-022</t>
        </is>
      </c>
      <c r="B23" s="3" t="inlineStr">
        <is>
          <t>Neuromon Professionals LLC v. Aetna Life Insurance Co.</t>
        </is>
      </c>
      <c r="C23" s="3" t="inlineStr">
        <is>
          <t>Neuromon Professionals LLC</t>
        </is>
      </c>
      <c r="D23" s="3" t="inlineStr">
        <is>
          <t>Aetna Life Insurance Co.</t>
        </is>
      </c>
      <c r="E23" s="3" t="inlineStr">
        <is>
          <t>U.S. District Court, District of New Jersey</t>
        </is>
      </c>
      <c r="F23" s="3" t="inlineStr">
        <is>
          <t>Federal District</t>
        </is>
      </c>
      <c r="G23" s="3" t="inlineStr">
        <is>
          <t>3d</t>
        </is>
      </c>
      <c r="H23" s="3" t="inlineStr">
        <is>
          <t>2:25-cv-01701</t>
        </is>
      </c>
      <c r="I23" s="4" t="n">
        <v>46009</v>
      </c>
      <c r="J23" s="3" t="inlineStr">
        <is>
          <t>NJ</t>
        </is>
      </c>
      <c r="K23" s="3" t="inlineStr">
        <is>
          <t>NJ</t>
        </is>
      </c>
      <c r="L23" s="9" t="inlineStr">
        <is>
          <t>Negative</t>
        </is>
      </c>
      <c r="M23" s="10">
        <f>IF(L23="Positive",1,IF(L23="Negative",-1,0))</f>
        <v/>
      </c>
      <c r="N23" s="3" t="inlineStr">
        <is>
          <t>Enforcement action dismissed</t>
        </is>
      </c>
      <c r="O23" s="3" t="inlineStr">
        <is>
          <t>No</t>
        </is>
      </c>
      <c r="P23" s="3" t="inlineStr">
        <is>
          <t>No</t>
        </is>
      </c>
      <c r="Q23" s="3" t="inlineStr">
        <is>
          <t>No</t>
        </is>
      </c>
      <c r="R23" s="7" t="n">
        <v>22900</v>
      </c>
      <c r="S23" s="3" t="inlineStr">
        <is>
          <t>Dismissed action seeking enforcement of two NSA IDR awards.</t>
        </is>
      </c>
      <c r="T23" s="3" t="inlineStr">
        <is>
          <t>District court</t>
        </is>
      </c>
      <c r="U23" s="3" t="inlineStr">
        <is>
          <t>Final district ruling</t>
        </is>
      </c>
      <c r="V23" s="3" t="inlineStr">
        <is>
          <t>No subsequent appellate decision identified in public search</t>
        </is>
      </c>
      <c r="W23" s="8" t="inlineStr">
        <is>
          <t>https://law.justia.com/cases/federal/district-courts/new-jersey/njdce/2%3A2025cv01701/563886/20/</t>
        </is>
      </c>
      <c r="X23" s="3" t="inlineStr">
        <is>
          <t>Direct enforcement</t>
        </is>
      </c>
      <c r="Y23" s="9" t="inlineStr">
        <is>
          <t>Yes</t>
        </is>
      </c>
      <c r="Z23" s="3" t="inlineStr">
        <is>
          <t>Amount combines two public award amounts ($11,200 + $11,700).</t>
        </is>
      </c>
      <c r="AA23" s="4" t="n">
        <v>46295</v>
      </c>
    </row>
    <row r="24" ht="24" customHeight="1" s="21">
      <c r="A24" s="2" t="inlineStr">
        <is>
          <t>NSA-023</t>
        </is>
      </c>
      <c r="B24" s="3" t="inlineStr">
        <is>
          <t>GuardION Medical LLC v. MedCost Benefit Services LLC</t>
        </is>
      </c>
      <c r="C24" s="3" t="inlineStr">
        <is>
          <t>GuardION Medical LLC</t>
        </is>
      </c>
      <c r="D24" s="3" t="inlineStr">
        <is>
          <t>MedCost Benefit Services LLC</t>
        </is>
      </c>
      <c r="E24" s="3" t="inlineStr">
        <is>
          <t>U.S. District Court, Middle District of Georgia</t>
        </is>
      </c>
      <c r="F24" s="3" t="inlineStr">
        <is>
          <t>Federal District</t>
        </is>
      </c>
      <c r="G24" s="3" t="inlineStr">
        <is>
          <t>11th</t>
        </is>
      </c>
      <c r="H24" s="3" t="inlineStr">
        <is>
          <t>5:25-cv-00223</t>
        </is>
      </c>
      <c r="I24" s="4" t="n">
        <v>46049</v>
      </c>
      <c r="J24" s="3" t="inlineStr">
        <is>
          <t>GA</t>
        </is>
      </c>
      <c r="K24" s="3" t="inlineStr">
        <is>
          <t>GA</t>
        </is>
      </c>
      <c r="L24" s="9" t="inlineStr">
        <is>
          <t>Negative</t>
        </is>
      </c>
      <c r="M24" s="10">
        <f>IF(L24="Positive",1,IF(L24="Negative",-1,0))</f>
        <v/>
      </c>
      <c r="N24" s="3" t="inlineStr">
        <is>
          <t>Petition dismissed / confirmation denied</t>
        </is>
      </c>
      <c r="O24" s="3" t="inlineStr">
        <is>
          <t>No</t>
        </is>
      </c>
      <c r="P24" s="3" t="inlineStr">
        <is>
          <t>No</t>
        </is>
      </c>
      <c r="Q24" s="3" t="inlineStr">
        <is>
          <t>No</t>
        </is>
      </c>
      <c r="R24" s="7" t="n">
        <v>15400</v>
      </c>
      <c r="S24" s="3" t="inlineStr">
        <is>
          <t>Held no implied NSA cause of action to enforce IDR awards and dismissed petition for lack of subject-matter jurisdiction.</t>
        </is>
      </c>
      <c r="T24" s="3" t="inlineStr">
        <is>
          <t>District court</t>
        </is>
      </c>
      <c r="U24" s="3" t="inlineStr">
        <is>
          <t>Final district ruling</t>
        </is>
      </c>
      <c r="V24" s="3" t="inlineStr">
        <is>
          <t>No subsequent appellate decision identified in public search</t>
        </is>
      </c>
      <c r="W24" s="8" t="inlineStr">
        <is>
          <t>https://docs.justia.com/cases/federal/district-courts/georgia/gamdce/5%3A2025cv00223/137486/17</t>
        </is>
      </c>
      <c r="X24" s="3" t="inlineStr">
        <is>
          <t>Direct enforcement</t>
        </is>
      </c>
      <c r="Y24" s="9" t="inlineStr">
        <is>
          <t>Yes</t>
        </is>
      </c>
      <c r="Z24" s="3" t="inlineStr">
        <is>
          <t>Public opinion describes total award as approximately $15,400.</t>
        </is>
      </c>
      <c r="AA24" s="4" t="n">
        <v>46295</v>
      </c>
    </row>
    <row r="25" ht="24" customHeight="1" s="21">
      <c r="A25" s="2" t="inlineStr">
        <is>
          <t>NSA-024</t>
        </is>
      </c>
      <c r="B25" s="3" t="inlineStr">
        <is>
          <t>Worldwide Aircraft Services, Inc. d/b/a Jet ICU v. Aetna Life Insurance Co.</t>
        </is>
      </c>
      <c r="C25" s="3" t="inlineStr">
        <is>
          <t>Jet ICU</t>
        </is>
      </c>
      <c r="D25" s="3" t="inlineStr">
        <is>
          <t>Aetna Life Insurance Co.</t>
        </is>
      </c>
      <c r="E25" s="3" t="inlineStr">
        <is>
          <t>U.S. District Court, Middle District of Florida</t>
        </is>
      </c>
      <c r="F25" s="3" t="inlineStr">
        <is>
          <t>Federal District</t>
        </is>
      </c>
      <c r="G25" s="3" t="inlineStr">
        <is>
          <t>11th</t>
        </is>
      </c>
      <c r="H25" s="3" t="inlineStr">
        <is>
          <t>8:25-cv-02231</t>
        </is>
      </c>
      <c r="I25" s="4" t="n">
        <v>46057</v>
      </c>
      <c r="J25" s="3" t="inlineStr">
        <is>
          <t>FL</t>
        </is>
      </c>
      <c r="K25" s="3" t="inlineStr">
        <is>
          <t>FL</t>
        </is>
      </c>
      <c r="L25" s="9" t="inlineStr">
        <is>
          <t>Negative</t>
        </is>
      </c>
      <c r="M25" s="10">
        <f>IF(L25="Positive",1,IF(L25="Negative",-1,0))</f>
        <v/>
      </c>
      <c r="N25" s="3" t="inlineStr">
        <is>
          <t>Petition dismissed</t>
        </is>
      </c>
      <c r="O25" s="3" t="inlineStr">
        <is>
          <t>No</t>
        </is>
      </c>
      <c r="P25" s="3" t="inlineStr">
        <is>
          <t>No</t>
        </is>
      </c>
      <c r="Q25" s="3" t="inlineStr">
        <is>
          <t>No</t>
        </is>
      </c>
      <c r="R25" s="7" t="n">
        <v>93594</v>
      </c>
      <c r="S25" s="3" t="inlineStr">
        <is>
          <t>Granted Aetna's motion to dismiss provider's petition to confirm NSA IDR award.</t>
        </is>
      </c>
      <c r="T25" s="3" t="inlineStr">
        <is>
          <t>District court</t>
        </is>
      </c>
      <c r="U25" s="3" t="inlineStr">
        <is>
          <t>Final district ruling</t>
        </is>
      </c>
      <c r="V25" s="3" t="inlineStr">
        <is>
          <t>Dismissed with prejudice</t>
        </is>
      </c>
      <c r="W25" s="8" t="inlineStr">
        <is>
          <t>https://docs.justia.com/cases/federal/district-courts/florida/flmdce/8%3A2025cv02231/446265/23</t>
        </is>
      </c>
      <c r="X25" s="3" t="inlineStr">
        <is>
          <t>Direct enforcement</t>
        </is>
      </c>
      <c r="Y25" s="9" t="inlineStr">
        <is>
          <t>Yes</t>
        </is>
      </c>
      <c r="Z25" s="3" t="inlineStr">
        <is>
          <t>Contrasts with Jet ICU's 2024 GeoBlue confirmation case.</t>
        </is>
      </c>
      <c r="AA25" s="4" t="n">
        <v>46295</v>
      </c>
    </row>
    <row r="26" ht="24" customHeight="1" s="21">
      <c r="A26" s="2" t="inlineStr">
        <is>
          <t>NSA-025</t>
        </is>
      </c>
      <c r="B26" s="3" t="inlineStr">
        <is>
          <t>SpecialtyCare, Inc. v. MedCost, LLC</t>
        </is>
      </c>
      <c r="C26" s="3" t="inlineStr">
        <is>
          <t>SpecialtyCare, Inc. et al.</t>
        </is>
      </c>
      <c r="D26" s="3" t="inlineStr">
        <is>
          <t>MedCost, LLC</t>
        </is>
      </c>
      <c r="E26" s="3" t="inlineStr">
        <is>
          <t>Delaware Court of Chancery</t>
        </is>
      </c>
      <c r="F26" s="3" t="inlineStr">
        <is>
          <t>State Trial</t>
        </is>
      </c>
      <c r="G26" s="3" t="inlineStr">
        <is>
          <t>N/A</t>
        </is>
      </c>
      <c r="H26" s="3" t="inlineStr">
        <is>
          <t>C.A. No. 2025-0011-DH</t>
        </is>
      </c>
      <c r="I26" s="4" t="n">
        <v>46069</v>
      </c>
      <c r="J26" s="3" t="inlineStr">
        <is>
          <t>DE</t>
        </is>
      </c>
      <c r="K26" s="3" t="inlineStr">
        <is>
          <t>DE</t>
        </is>
      </c>
      <c r="L26" s="9" t="inlineStr">
        <is>
          <t>Negative</t>
        </is>
      </c>
      <c r="M26" s="10">
        <f>IF(L26="Positive",1,IF(L26="Negative",-1,0))</f>
        <v/>
      </c>
      <c r="N26" s="3" t="inlineStr">
        <is>
          <t>State-law enforcement claims dismissed</t>
        </is>
      </c>
      <c r="O26" s="3" t="inlineStr">
        <is>
          <t>No</t>
        </is>
      </c>
      <c r="P26" s="3" t="inlineStr">
        <is>
          <t>No</t>
        </is>
      </c>
      <c r="Q26" s="3" t="inlineStr">
        <is>
          <t>No</t>
        </is>
      </c>
      <c r="R26" s="7" t="n"/>
      <c r="S26" s="3" t="inlineStr">
        <is>
          <t>Held the NSA does not imply a private enforcement right and dismissed claims seeking payment of IDR awards.</t>
        </is>
      </c>
      <c r="T26" s="3" t="inlineStr">
        <is>
          <t>State trial court</t>
        </is>
      </c>
      <c r="U26" s="3" t="inlineStr">
        <is>
          <t>Final state trial ruling</t>
        </is>
      </c>
      <c r="V26" s="3" t="inlineStr">
        <is>
          <t>No subsequent appellate decision identified in public search</t>
        </is>
      </c>
      <c r="W26" s="8" t="inlineStr">
        <is>
          <t>https://law.justia.com/cases/delaware/court-of-chancery/2026/c-a-no-2025-0011-dh.html</t>
        </is>
      </c>
      <c r="X26" s="3" t="inlineStr">
        <is>
          <t>Direct enforcement</t>
        </is>
      </c>
      <c r="Y26" s="9" t="inlineStr">
        <is>
          <t>Yes</t>
        </is>
      </c>
      <c r="Z26" s="3" t="inlineStr">
        <is>
          <t>Important state-court decision; not a federal district ruling.</t>
        </is>
      </c>
      <c r="AA26" s="4" t="n">
        <v>46295</v>
      </c>
    </row>
    <row r="27" ht="36" customHeight="1" s="21">
      <c r="A27" s="2" t="inlineStr">
        <is>
          <t>NSA-026</t>
        </is>
      </c>
      <c r="B27" s="3" t="inlineStr">
        <is>
          <t>SpecialtyCare, Inc. et al. v. CIGNA Healthcare, Inc.</t>
        </is>
      </c>
      <c r="C27" s="3" t="inlineStr">
        <is>
          <t>SpecialtyCare, Inc. / Remote Neuromonitoring Physicians / Sentient Physicians</t>
        </is>
      </c>
      <c r="D27" s="3" t="inlineStr">
        <is>
          <t>CIGNA Healthcare, Inc.</t>
        </is>
      </c>
      <c r="E27" s="3" t="inlineStr">
        <is>
          <t>U.S. District Court, District of Delaware</t>
        </is>
      </c>
      <c r="F27" s="3" t="inlineStr">
        <is>
          <t>Federal District</t>
        </is>
      </c>
      <c r="G27" s="3" t="inlineStr">
        <is>
          <t>3d</t>
        </is>
      </c>
      <c r="H27" s="3" t="inlineStr">
        <is>
          <t>1:24-cv-01378</t>
        </is>
      </c>
      <c r="I27" s="4" t="n">
        <v>46073</v>
      </c>
      <c r="J27" s="3" t="inlineStr">
        <is>
          <t>DE</t>
        </is>
      </c>
      <c r="K27" s="3" t="inlineStr">
        <is>
          <t>DE</t>
        </is>
      </c>
      <c r="L27" s="9" t="inlineStr">
        <is>
          <t>Negative</t>
        </is>
      </c>
      <c r="M27" s="10">
        <f>IF(L27="Positive",1,IF(L27="Negative",-1,0))</f>
        <v/>
      </c>
      <c r="N27" s="3" t="inlineStr">
        <is>
          <t>Report &amp; Recommendation recommending dismissal</t>
        </is>
      </c>
      <c r="O27" s="3" t="inlineStr">
        <is>
          <t>No</t>
        </is>
      </c>
      <c r="P27" s="3" t="inlineStr">
        <is>
          <t>No</t>
        </is>
      </c>
      <c r="Q27" s="3" t="inlineStr">
        <is>
          <t>No</t>
        </is>
      </c>
      <c r="R27" s="7" t="n"/>
      <c r="S27" s="3" t="inlineStr">
        <is>
          <t>R&amp;R concluded neither the NSA nor FAA provides a private enforcement route.</t>
        </is>
      </c>
      <c r="T27" s="3" t="inlineStr">
        <is>
          <t>Magistrate R&amp;R</t>
        </is>
      </c>
      <c r="U27" s="3" t="inlineStr">
        <is>
          <t>Final district ruling (R&amp;R adopted 3/26/2026; Counts I-III dismissed with prejudice)</t>
        </is>
      </c>
      <c r="V27" s="3" t="inlineStr">
        <is>
          <t>Third Circuit appeal later docketed as No. 26-1768 after district disposition</t>
        </is>
      </c>
      <c r="W27" s="8" t="inlineStr">
        <is>
          <t>https://docs.justia.com/cases/federal/district-courts/delaware/dedce/1%3A2024cv01378/87654/26</t>
        </is>
      </c>
      <c r="X27" s="3" t="inlineStr">
        <is>
          <t>Direct enforcement - nonfinal</t>
        </is>
      </c>
      <c r="Y27" s="9" t="inlineStr">
        <is>
          <t>No</t>
        </is>
      </c>
      <c r="Z27" s="3" t="inlineStr">
        <is>
          <t>Do not heat-map this R&amp;R as a final decision; track final district disposition separately when verified.</t>
        </is>
      </c>
      <c r="AA27" s="4" t="n">
        <v>46311</v>
      </c>
    </row>
    <row r="28" ht="36" customHeight="1" s="21">
      <c r="A28" s="2" t="inlineStr">
        <is>
          <t>NSA-027</t>
        </is>
      </c>
      <c r="B28" s="3" t="inlineStr">
        <is>
          <t>SpecialtyCare, Inc. et al. v. UMR, Inc.</t>
        </is>
      </c>
      <c r="C28" s="3" t="inlineStr">
        <is>
          <t>SpecialtyCare, Inc. / Remote Neuromonitoring Physicians / Sentient Physicians</t>
        </is>
      </c>
      <c r="D28" s="3" t="inlineStr">
        <is>
          <t>UMR, Inc.</t>
        </is>
      </c>
      <c r="E28" s="3" t="inlineStr">
        <is>
          <t>U.S. District Court, District of Delaware</t>
        </is>
      </c>
      <c r="F28" s="3" t="inlineStr">
        <is>
          <t>Federal District</t>
        </is>
      </c>
      <c r="G28" s="3" t="inlineStr">
        <is>
          <t>3d</t>
        </is>
      </c>
      <c r="H28" s="3" t="inlineStr">
        <is>
          <t>1:24-cv-01396</t>
        </is>
      </c>
      <c r="I28" s="4" t="n">
        <v>46073</v>
      </c>
      <c r="J28" s="3" t="inlineStr">
        <is>
          <t>DE</t>
        </is>
      </c>
      <c r="K28" s="3" t="inlineStr">
        <is>
          <t>DE</t>
        </is>
      </c>
      <c r="L28" s="9" t="inlineStr">
        <is>
          <t>Negative</t>
        </is>
      </c>
      <c r="M28" s="10">
        <f>IF(L28="Positive",1,IF(L28="Negative",-1,0))</f>
        <v/>
      </c>
      <c r="N28" s="3" t="inlineStr">
        <is>
          <t>Report &amp; Recommendation recommending dismissal</t>
        </is>
      </c>
      <c r="O28" s="3" t="inlineStr">
        <is>
          <t>No</t>
        </is>
      </c>
      <c r="P28" s="3" t="inlineStr">
        <is>
          <t>No</t>
        </is>
      </c>
      <c r="Q28" s="3" t="inlineStr">
        <is>
          <t>No</t>
        </is>
      </c>
      <c r="R28" s="7" t="n"/>
      <c r="S28" s="3" t="inlineStr">
        <is>
          <t>R&amp;R concluded neither the NSA nor FAA provides a private enforcement route.</t>
        </is>
      </c>
      <c r="T28" s="3" t="inlineStr">
        <is>
          <t>Magistrate R&amp;R</t>
        </is>
      </c>
      <c r="U28" s="3" t="inlineStr">
        <is>
          <t>Final district ruling (R&amp;R adopted 3/26/2026; Counts I-III dismissed with prejudice)</t>
        </is>
      </c>
      <c r="V28" s="3" t="inlineStr">
        <is>
          <t>Third Circuit appeal later docketed as No. 26-1769 after district disposition</t>
        </is>
      </c>
      <c r="W28" s="8" t="inlineStr">
        <is>
          <t>https://docs.justia.com/cases/federal/district-courts/delaware/dedce/1%3A2024cv01396/87709/24</t>
        </is>
      </c>
      <c r="X28" s="3" t="inlineStr">
        <is>
          <t>Direct enforcement - nonfinal</t>
        </is>
      </c>
      <c r="Y28" s="9" t="inlineStr">
        <is>
          <t>No</t>
        </is>
      </c>
      <c r="Z28" s="3" t="inlineStr">
        <is>
          <t>Do not heat-map this R&amp;R as a final decision; track final district disposition separately when verified.</t>
        </is>
      </c>
      <c r="AA28" s="4" t="n">
        <v>46311</v>
      </c>
    </row>
    <row r="29" ht="36" customHeight="1" s="21">
      <c r="A29" s="2" t="inlineStr">
        <is>
          <t>NSA-028</t>
        </is>
      </c>
      <c r="B29" s="3" t="inlineStr">
        <is>
          <t>SpecialtyCare, Inc. et al. v. Meritain Health, Inc.</t>
        </is>
      </c>
      <c r="C29" s="3" t="inlineStr">
        <is>
          <t>SpecialtyCare, Inc. / Remote Neuromonitoring Physicians / Sentient Physicians</t>
        </is>
      </c>
      <c r="D29" s="3" t="inlineStr">
        <is>
          <t>Meritain Health, Inc.</t>
        </is>
      </c>
      <c r="E29" s="3" t="inlineStr">
        <is>
          <t>U.S. District Court, District of Delaware</t>
        </is>
      </c>
      <c r="F29" s="3" t="inlineStr">
        <is>
          <t>Federal District</t>
        </is>
      </c>
      <c r="G29" s="3" t="inlineStr">
        <is>
          <t>3d</t>
        </is>
      </c>
      <c r="H29" s="3" t="inlineStr">
        <is>
          <t>1:25-cv-00198</t>
        </is>
      </c>
      <c r="I29" s="4" t="n">
        <v>46098</v>
      </c>
      <c r="J29" s="3" t="inlineStr">
        <is>
          <t>DE</t>
        </is>
      </c>
      <c r="K29" s="3" t="inlineStr">
        <is>
          <t>DE</t>
        </is>
      </c>
      <c r="L29" s="9" t="inlineStr">
        <is>
          <t>Negative</t>
        </is>
      </c>
      <c r="M29" s="10">
        <f>IF(L29="Positive",1,IF(L29="Negative",-1,0))</f>
        <v/>
      </c>
      <c r="N29" s="3" t="inlineStr">
        <is>
          <t>R&amp;R adopted / complaint dismissed</t>
        </is>
      </c>
      <c r="O29" s="3" t="inlineStr">
        <is>
          <t>No</t>
        </is>
      </c>
      <c r="P29" s="3" t="inlineStr">
        <is>
          <t>No</t>
        </is>
      </c>
      <c r="Q29" s="3" t="inlineStr">
        <is>
          <t>No</t>
        </is>
      </c>
      <c r="R29" s="7" t="n"/>
      <c r="S29" s="3" t="inlineStr">
        <is>
          <t>Adopted R&amp;R and held the NSA does not create a private right of action; state-law theories cannot circumvent that omission.</t>
        </is>
      </c>
      <c r="T29" s="3" t="inlineStr">
        <is>
          <t>District court</t>
        </is>
      </c>
      <c r="U29" s="3" t="inlineStr">
        <is>
          <t>Final district ruling</t>
        </is>
      </c>
      <c r="V29" s="3" t="inlineStr">
        <is>
          <t>No subsequent appellate decision identified in public search</t>
        </is>
      </c>
      <c r="W29" s="8" t="inlineStr">
        <is>
          <t>https://docs.justia.com/cases/federal/district-courts/delaware/dedce/1%3A2025cv00198/88260/42</t>
        </is>
      </c>
      <c r="X29" s="3" t="inlineStr">
        <is>
          <t>Direct enforcement</t>
        </is>
      </c>
      <c r="Y29" s="9" t="inlineStr">
        <is>
          <t>Yes</t>
        </is>
      </c>
      <c r="Z29" s="3" t="inlineStr">
        <is>
          <t>Final decision; replaces the 2026-02-09 R&amp;R for heat-map purposes.</t>
        </is>
      </c>
      <c r="AA29" s="4" t="n">
        <v>46295</v>
      </c>
    </row>
    <row r="30" ht="24" customHeight="1" s="21">
      <c r="A30" s="2" t="inlineStr">
        <is>
          <t>NSA-029</t>
        </is>
      </c>
      <c r="B30" s="3" t="inlineStr">
        <is>
          <t>PHI Health, LLC v. Optimum Choice, Inc.</t>
        </is>
      </c>
      <c r="C30" s="3" t="inlineStr">
        <is>
          <t>PHI Health, LLC</t>
        </is>
      </c>
      <c r="D30" s="3" t="inlineStr">
        <is>
          <t>Optimum Choice, Inc.</t>
        </is>
      </c>
      <c r="E30" s="3" t="inlineStr">
        <is>
          <t>U.S. District Court, District of Maryland</t>
        </is>
      </c>
      <c r="F30" s="3" t="inlineStr">
        <is>
          <t>Federal District</t>
        </is>
      </c>
      <c r="G30" s="3" t="inlineStr">
        <is>
          <t>4th</t>
        </is>
      </c>
      <c r="H30" s="3" t="inlineStr">
        <is>
          <t>1:25-cv-02320-ABA</t>
        </is>
      </c>
      <c r="I30" s="4" t="n">
        <v>46108</v>
      </c>
      <c r="J30" s="3" t="inlineStr">
        <is>
          <t>MD</t>
        </is>
      </c>
      <c r="K30" s="3" t="inlineStr">
        <is>
          <t>MD</t>
        </is>
      </c>
      <c r="L30" s="5" t="inlineStr">
        <is>
          <t>Positive</t>
        </is>
      </c>
      <c r="M30" s="6">
        <f>IF(L30="Positive",1,IF(L30="Negative",-1,0))</f>
        <v/>
      </c>
      <c r="N30" s="3" t="inlineStr">
        <is>
          <t>Motion to dismiss denied</t>
        </is>
      </c>
      <c r="O30" s="3" t="inlineStr">
        <is>
          <t>Yes</t>
        </is>
      </c>
      <c r="P30" s="3" t="inlineStr">
        <is>
          <t>Alternative theory discussed</t>
        </is>
      </c>
      <c r="Q30" s="3" t="inlineStr">
        <is>
          <t>Not yet at this stage</t>
        </is>
      </c>
      <c r="R30" s="7" t="n"/>
      <c r="S30" s="3" t="inlineStr">
        <is>
          <t>Held Congress intended a judicial remedy for nonpayment of binding IDR awards and allowed PHI's enforcement cause of action to proceed.</t>
        </is>
      </c>
      <c r="T30" s="3" t="inlineStr">
        <is>
          <t>District court</t>
        </is>
      </c>
      <c r="U30" s="3" t="inlineStr">
        <is>
          <t>Interlocutory merits ruling</t>
        </is>
      </c>
      <c r="V30" s="3" t="inlineStr">
        <is>
          <t>Case continued after denial; monitor for final judgment/appeal</t>
        </is>
      </c>
      <c r="W30" s="8" t="inlineStr">
        <is>
          <t>https://law.justia.com/cases/federal/district-courts/maryland/mddce/1%3A2025cv02320/586626/44/</t>
        </is>
      </c>
      <c r="X30" s="3" t="inlineStr">
        <is>
          <t>Direct enforcement</t>
        </is>
      </c>
      <c r="Y30" s="5" t="inlineStr">
        <is>
          <t>Yes</t>
        </is>
      </c>
      <c r="Z30" s="3" t="inlineStr">
        <is>
          <t>Positive on availability of enforcement action, but not itself a final confirmation judgment.</t>
        </is>
      </c>
      <c r="AA30" s="4" t="n">
        <v>46295</v>
      </c>
    </row>
    <row r="31" ht="24" customHeight="1" s="21">
      <c r="A31" s="2" t="inlineStr">
        <is>
          <t>NSA-030</t>
        </is>
      </c>
      <c r="B31" s="3" t="inlineStr">
        <is>
          <t>NeuroShield Network SE, LLC v. Phoenix Administrators, LLC d/b/a Performance Health</t>
        </is>
      </c>
      <c r="C31" s="3" t="inlineStr">
        <is>
          <t>NeuroShield Network SE, LLC</t>
        </is>
      </c>
      <c r="D31" s="3" t="inlineStr">
        <is>
          <t>Phoenix Administrators, LLC / Performance Health</t>
        </is>
      </c>
      <c r="E31" s="3" t="inlineStr">
        <is>
          <t>U.S. District Court, Northern District of Ohio</t>
        </is>
      </c>
      <c r="F31" s="3" t="inlineStr">
        <is>
          <t>Federal District</t>
        </is>
      </c>
      <c r="G31" s="3" t="inlineStr">
        <is>
          <t>6th</t>
        </is>
      </c>
      <c r="H31" s="3" t="inlineStr">
        <is>
          <t>1:25-cv-01277</t>
        </is>
      </c>
      <c r="I31" s="4" t="n">
        <v>46111</v>
      </c>
      <c r="J31" s="3" t="inlineStr">
        <is>
          <t>OH</t>
        </is>
      </c>
      <c r="K31" s="3" t="inlineStr">
        <is>
          <t>OH</t>
        </is>
      </c>
      <c r="L31" s="9" t="inlineStr">
        <is>
          <t>Negative</t>
        </is>
      </c>
      <c r="M31" s="10">
        <f>IF(L31="Positive",1,IF(L31="Negative",-1,0))</f>
        <v/>
      </c>
      <c r="N31" s="3" t="inlineStr">
        <is>
          <t>Petition dismissed</t>
        </is>
      </c>
      <c r="O31" s="3" t="inlineStr">
        <is>
          <t>No</t>
        </is>
      </c>
      <c r="P31" s="3" t="inlineStr">
        <is>
          <t>No</t>
        </is>
      </c>
      <c r="Q31" s="3" t="inlineStr">
        <is>
          <t>No</t>
        </is>
      </c>
      <c r="R31" s="7" t="n">
        <v>15400</v>
      </c>
      <c r="S31" s="3" t="inlineStr">
        <is>
          <t>Held the NSA confers no implied cause of action permitting enforcement of IDR awards and dismissed for lack of subject-matter jurisdiction.</t>
        </is>
      </c>
      <c r="T31" s="3" t="inlineStr">
        <is>
          <t>District court</t>
        </is>
      </c>
      <c r="U31" s="3" t="inlineStr">
        <is>
          <t>Final district ruling</t>
        </is>
      </c>
      <c r="V31" s="3" t="inlineStr">
        <is>
          <t>No subsequent appellate decision identified in public search</t>
        </is>
      </c>
      <c r="W31" s="8" t="inlineStr">
        <is>
          <t>https://law.justia.com/cases/federal/district-courts/ohio/ohndce/1%3A2025cv01277/318516/17/</t>
        </is>
      </c>
      <c r="X31" s="3" t="inlineStr">
        <is>
          <t>Direct enforcement</t>
        </is>
      </c>
      <c r="Y31" s="9" t="inlineStr">
        <is>
          <t>Yes</t>
        </is>
      </c>
      <c r="Z31" s="3" t="inlineStr">
        <is>
          <t>Unpaid amount requested was about $15,048.31; total award approximately $15,400.</t>
        </is>
      </c>
      <c r="AA31" s="4" t="n">
        <v>46295</v>
      </c>
    </row>
    <row r="32" ht="24" customHeight="1" s="21">
      <c r="A32" s="2" t="inlineStr">
        <is>
          <t>NSA-031</t>
        </is>
      </c>
      <c r="B32" s="3" t="inlineStr">
        <is>
          <t>T.V. Seshan, M.D., P.C. v. Aetna, Inc.</t>
        </is>
      </c>
      <c r="C32" s="3" t="inlineStr">
        <is>
          <t>T.V. Seshan, M.D., P.C.</t>
        </is>
      </c>
      <c r="D32" s="3" t="inlineStr">
        <is>
          <t>Aetna, Inc.</t>
        </is>
      </c>
      <c r="E32" s="3" t="inlineStr">
        <is>
          <t>U.S. District Court, Southern District of New York</t>
        </is>
      </c>
      <c r="F32" s="3" t="inlineStr">
        <is>
          <t>Federal District</t>
        </is>
      </c>
      <c r="G32" s="3" t="inlineStr">
        <is>
          <t>2d</t>
        </is>
      </c>
      <c r="H32" s="3" t="inlineStr">
        <is>
          <t>7:25-cv-02938</t>
        </is>
      </c>
      <c r="I32" s="4" t="n">
        <v>46111</v>
      </c>
      <c r="J32" s="3" t="inlineStr">
        <is>
          <t>NY</t>
        </is>
      </c>
      <c r="K32" s="3" t="inlineStr">
        <is>
          <t>NY</t>
        </is>
      </c>
      <c r="L32" s="9" t="inlineStr">
        <is>
          <t>Negative</t>
        </is>
      </c>
      <c r="M32" s="10">
        <f>IF(L32="Positive",1,IF(L32="Negative",-1,0))</f>
        <v/>
      </c>
      <c r="N32" s="3" t="inlineStr">
        <is>
          <t>Petition to confirm dismissed</t>
        </is>
      </c>
      <c r="O32" s="3" t="inlineStr">
        <is>
          <t>No</t>
        </is>
      </c>
      <c r="P32" s="3" t="inlineStr">
        <is>
          <t>No</t>
        </is>
      </c>
      <c r="Q32" s="3" t="inlineStr">
        <is>
          <t>No</t>
        </is>
      </c>
      <c r="R32" s="7" t="n"/>
      <c r="S32" s="3" t="inlineStr">
        <is>
          <t>Dismissed petition to confirm NSA IDR award.</t>
        </is>
      </c>
      <c r="T32" s="3" t="inlineStr">
        <is>
          <t>District court</t>
        </is>
      </c>
      <c r="U32" s="3" t="inlineStr">
        <is>
          <t>Final district ruling</t>
        </is>
      </c>
      <c r="V32" s="3" t="inlineStr">
        <is>
          <t>No subsequent appellate decision identified in public search</t>
        </is>
      </c>
      <c r="W32" s="8" t="inlineStr">
        <is>
          <t>https://law.justia.com/cases/federal/district-courts/new-york/nysdce/7%3A2025cv02938/640257/18/</t>
        </is>
      </c>
      <c r="X32" s="3" t="inlineStr">
        <is>
          <t>Direct enforcement</t>
        </is>
      </c>
      <c r="Y32" s="9" t="inlineStr">
        <is>
          <t>Yes</t>
        </is>
      </c>
      <c r="Z32" s="3" t="inlineStr">
        <is>
          <t>Consistent with later Second Circuit East Coast ruling.</t>
        </is>
      </c>
      <c r="AA32" s="4" t="n">
        <v>46295</v>
      </c>
    </row>
    <row r="33" ht="24" customHeight="1" s="21">
      <c r="A33" s="2" t="inlineStr">
        <is>
          <t>NSA-032</t>
        </is>
      </c>
      <c r="B33" s="3" t="inlineStr">
        <is>
          <t>Jeffrey Farkas, M.D., LLC v. 1199SEIU National Benefit Fund</t>
        </is>
      </c>
      <c r="C33" s="3" t="inlineStr">
        <is>
          <t>Jeffrey Farkas, M.D., LLC</t>
        </is>
      </c>
      <c r="D33" s="3" t="inlineStr">
        <is>
          <t>1199SEIU National Benefit Fund</t>
        </is>
      </c>
      <c r="E33" s="3" t="inlineStr">
        <is>
          <t>U.S. District Court, Eastern District of New York</t>
        </is>
      </c>
      <c r="F33" s="3" t="inlineStr">
        <is>
          <t>Federal District</t>
        </is>
      </c>
      <c r="G33" s="3" t="inlineStr">
        <is>
          <t>2d</t>
        </is>
      </c>
      <c r="H33" s="3" t="inlineStr">
        <is>
          <t>1:25-cv-00057</t>
        </is>
      </c>
      <c r="I33" s="4" t="n">
        <v>46113</v>
      </c>
      <c r="J33" s="3" t="inlineStr">
        <is>
          <t>NY</t>
        </is>
      </c>
      <c r="K33" s="3" t="inlineStr">
        <is>
          <t>NY</t>
        </is>
      </c>
      <c r="L33" s="9" t="inlineStr">
        <is>
          <t>Negative</t>
        </is>
      </c>
      <c r="M33" s="10">
        <f>IF(L33="Positive",1,IF(L33="Negative",-1,0))</f>
        <v/>
      </c>
      <c r="N33" s="3" t="inlineStr">
        <is>
          <t>Dismissal granted / confirmation denied</t>
        </is>
      </c>
      <c r="O33" s="3" t="inlineStr">
        <is>
          <t>No</t>
        </is>
      </c>
      <c r="P33" s="3" t="inlineStr">
        <is>
          <t>No</t>
        </is>
      </c>
      <c r="Q33" s="3" t="inlineStr">
        <is>
          <t>No</t>
        </is>
      </c>
      <c r="R33" s="7" t="n"/>
      <c r="S33" s="3" t="inlineStr">
        <is>
          <t>Granted motion to dismiss and denied cross-motion to confirm NSA IDR award.</t>
        </is>
      </c>
      <c r="T33" s="3" t="inlineStr">
        <is>
          <t>District court</t>
        </is>
      </c>
      <c r="U33" s="3" t="inlineStr">
        <is>
          <t>Final district ruling</t>
        </is>
      </c>
      <c r="V33" s="3" t="inlineStr">
        <is>
          <t>No subsequent appellate decision identified in public search</t>
        </is>
      </c>
      <c r="W33" s="8" t="inlineStr">
        <is>
          <t>https://law.justia.com/cases/federal/district-courts/new-york/nyedce/1%3A2025cv00057/525792/33/</t>
        </is>
      </c>
      <c r="X33" s="3" t="inlineStr">
        <is>
          <t>Direct enforcement</t>
        </is>
      </c>
      <c r="Y33" s="9" t="inlineStr">
        <is>
          <t>Yes</t>
        </is>
      </c>
      <c r="Z33" s="3" t="inlineStr">
        <is>
          <t>Consistent with later Second Circuit East Coast ruling.</t>
        </is>
      </c>
      <c r="AA33" s="4" t="n">
        <v>46295</v>
      </c>
    </row>
    <row r="34" ht="24" customHeight="1" s="21">
      <c r="A34" s="2" t="inlineStr">
        <is>
          <t>NSA-033</t>
        </is>
      </c>
      <c r="B34" s="3" t="inlineStr">
        <is>
          <t>Advanced Vascular Associates v. Horizon Blue Cross Blue Shield of New Jersey</t>
        </is>
      </c>
      <c r="C34" s="3" t="inlineStr">
        <is>
          <t>Advanced Vascular Associates</t>
        </is>
      </c>
      <c r="D34" s="3" t="inlineStr">
        <is>
          <t>Horizon Blue Cross Blue Shield of New Jersey</t>
        </is>
      </c>
      <c r="E34" s="3" t="inlineStr">
        <is>
          <t>U.S. District Court, Eastern District of Pennsylvania</t>
        </is>
      </c>
      <c r="F34" s="3" t="inlineStr">
        <is>
          <t>Federal District</t>
        </is>
      </c>
      <c r="G34" s="3" t="inlineStr">
        <is>
          <t>3d</t>
        </is>
      </c>
      <c r="H34" s="3" t="inlineStr">
        <is>
          <t>2:25-cv-05068-JDW</t>
        </is>
      </c>
      <c r="I34" s="4" t="n">
        <v>46119</v>
      </c>
      <c r="J34" s="3" t="inlineStr">
        <is>
          <t>PA</t>
        </is>
      </c>
      <c r="K34" s="3" t="inlineStr">
        <is>
          <t>PA</t>
        </is>
      </c>
      <c r="L34" s="9" t="inlineStr">
        <is>
          <t>Negative</t>
        </is>
      </c>
      <c r="M34" s="10">
        <f>IF(L34="Positive",1,IF(L34="Negative",-1,0))</f>
        <v/>
      </c>
      <c r="N34" s="3" t="inlineStr">
        <is>
          <t>Judgment on pleadings / confirmation denied</t>
        </is>
      </c>
      <c r="O34" s="3" t="inlineStr">
        <is>
          <t>No</t>
        </is>
      </c>
      <c r="P34" s="3" t="inlineStr">
        <is>
          <t>No</t>
        </is>
      </c>
      <c r="Q34" s="3" t="inlineStr">
        <is>
          <t>No</t>
        </is>
      </c>
      <c r="R34" s="7" t="n"/>
      <c r="S34" s="3" t="inlineStr">
        <is>
          <t>Held courts are not authorized to confirm or enforce NSA IDR determinations under the FAA and the NSA creates no private cause of action.</t>
        </is>
      </c>
      <c r="T34" s="3" t="inlineStr">
        <is>
          <t>District court</t>
        </is>
      </c>
      <c r="U34" s="3" t="inlineStr">
        <is>
          <t>Final district ruling</t>
        </is>
      </c>
      <c r="V34" s="3" t="inlineStr">
        <is>
          <t>No subsequent appellate decision identified in public search</t>
        </is>
      </c>
      <c r="W34" s="8" t="inlineStr">
        <is>
          <t>https://docs.justia.com/cases/federal/district-courts/pennsylvania/paedce/2%3A2025cv05068/643142/26</t>
        </is>
      </c>
      <c r="X34" s="3" t="inlineStr">
        <is>
          <t>Direct enforcement</t>
        </is>
      </c>
      <c r="Y34" s="9" t="inlineStr">
        <is>
          <t>Yes</t>
        </is>
      </c>
      <c r="Z34" s="3" t="inlineStr">
        <is>
          <t>Clear negative merits decision on both NSA and FAA theories.</t>
        </is>
      </c>
      <c r="AA34" s="4" t="n">
        <v>46295</v>
      </c>
    </row>
    <row r="35" ht="36" customHeight="1" s="21">
      <c r="A35" s="2" t="inlineStr">
        <is>
          <t>NSA-034</t>
        </is>
      </c>
      <c r="B35" s="3" t="inlineStr">
        <is>
          <t>Agag v. Cigna Health and Life Insurance Co.</t>
        </is>
      </c>
      <c r="C35" s="3" t="inlineStr">
        <is>
          <t>Agag</t>
        </is>
      </c>
      <c r="D35" s="3" t="inlineStr">
        <is>
          <t>Cigna Health and Life Insurance Co.</t>
        </is>
      </c>
      <c r="E35" s="3" t="inlineStr">
        <is>
          <t>U.S. District Court, District of Connecticut</t>
        </is>
      </c>
      <c r="F35" s="3" t="inlineStr">
        <is>
          <t>Federal District</t>
        </is>
      </c>
      <c r="G35" s="3" t="inlineStr">
        <is>
          <t>2d</t>
        </is>
      </c>
      <c r="H35" s="3" t="inlineStr">
        <is>
          <t>3:25-cv-00498-SRU</t>
        </is>
      </c>
      <c r="I35" s="4" t="n">
        <v>46127</v>
      </c>
      <c r="J35" s="3" t="inlineStr">
        <is>
          <t>CT</t>
        </is>
      </c>
      <c r="K35" s="3" t="inlineStr">
        <is>
          <t>CT</t>
        </is>
      </c>
      <c r="L35" s="5" t="inlineStr">
        <is>
          <t>Positive</t>
        </is>
      </c>
      <c r="M35" s="6">
        <f>IF(L35="Positive",1,IF(L35="Negative",-1,0))</f>
        <v/>
      </c>
      <c r="N35" s="3" t="inlineStr">
        <is>
          <t>Cross-motion to confirm granted</t>
        </is>
      </c>
      <c r="O35" s="3" t="inlineStr">
        <is>
          <t>Limited: no NSA damages action</t>
        </is>
      </c>
      <c r="P35" s="3" t="inlineStr">
        <is>
          <t>No under FAA; confirmation allowed under NSA summary proceeding</t>
        </is>
      </c>
      <c r="Q35" s="3" t="inlineStr">
        <is>
          <t>Yes</t>
        </is>
      </c>
      <c r="R35" s="7" t="n">
        <v>142567.99</v>
      </c>
      <c r="S35" s="3" t="inlineStr">
        <is>
          <t>Held federal-question jurisdiction existed and a provider could seek confirmation through a summary NSA proceeding; granted confirmation while rejecting FAA confirmation and NSA damages theories.</t>
        </is>
      </c>
      <c r="T35" s="3" t="inlineStr">
        <is>
          <t>District court</t>
        </is>
      </c>
      <c r="U35" s="3" t="inlineStr">
        <is>
          <t>Final confirmation judgment</t>
        </is>
      </c>
      <c r="V35" s="3" t="inlineStr">
        <is>
          <t>Second Circuit's 2026-09-17 East Coast decision creates controlling contrary authority on implied private enforcement; monitor Agag subsequent history</t>
        </is>
      </c>
      <c r="W35" s="8" t="inlineStr">
        <is>
          <t>https://www.govinfo.gov/content/pkg/USCOURTS-ctd-3_25-cv-00498/pdf/USCOURTS-ctd-3_25-cv-00498-0.pdf</t>
        </is>
      </c>
      <c r="X35" s="3" t="inlineStr">
        <is>
          <t>Direct enforcement</t>
        </is>
      </c>
      <c r="Y35" s="5" t="inlineStr">
        <is>
          <t>Yes</t>
        </is>
      </c>
      <c r="Z35" s="3" t="inlineStr">
        <is>
          <t>Positive confirmation result, but theory is narrower than an implied damages cause and may be affected by later Second Circuit authority.</t>
        </is>
      </c>
      <c r="AA35" s="4" t="n">
        <v>46295</v>
      </c>
    </row>
    <row r="36" ht="24" customHeight="1" s="21">
      <c r="A36" s="2" t="inlineStr">
        <is>
          <t>NSA-035</t>
        </is>
      </c>
      <c r="B36" s="3" t="inlineStr">
        <is>
          <t>Guardian Flight LLC et al. v. Aetna Health Inc. et al.</t>
        </is>
      </c>
      <c r="C36" s="3" t="inlineStr">
        <is>
          <t>Guardian Flight LLC et al.</t>
        </is>
      </c>
      <c r="D36" s="3" t="inlineStr">
        <is>
          <t>Aetna Health / Aetna Life / Cigna entities</t>
        </is>
      </c>
      <c r="E36" s="3" t="inlineStr">
        <is>
          <t>U.S. District Court, District of Connecticut</t>
        </is>
      </c>
      <c r="F36" s="3" t="inlineStr">
        <is>
          <t>Federal District</t>
        </is>
      </c>
      <c r="G36" s="3" t="inlineStr">
        <is>
          <t>2d</t>
        </is>
      </c>
      <c r="H36" s="3" t="inlineStr">
        <is>
          <t>3:24-cv-00680</t>
        </is>
      </c>
      <c r="I36" s="4" t="n">
        <v>45791</v>
      </c>
      <c r="J36" s="3" t="inlineStr">
        <is>
          <t>CT</t>
        </is>
      </c>
      <c r="K36" s="3" t="inlineStr">
        <is>
          <t>CT</t>
        </is>
      </c>
      <c r="L36" s="5" t="inlineStr">
        <is>
          <t>Positive</t>
        </is>
      </c>
      <c r="M36" s="6">
        <f>IF(L36="Positive",1,IF(L36="Negative",-1,0))</f>
        <v/>
      </c>
      <c r="N36" s="3" t="inlineStr">
        <is>
          <t>Motion to dismiss denied</t>
        </is>
      </c>
      <c r="O36" s="3" t="inlineStr">
        <is>
          <t>Yes</t>
        </is>
      </c>
      <c r="P36" s="3" t="inlineStr">
        <is>
          <t>Not required at pleading stage</t>
        </is>
      </c>
      <c r="Q36" s="3" t="inlineStr">
        <is>
          <t>No final confirmation at this stage</t>
        </is>
      </c>
      <c r="R36" s="7" t="n"/>
      <c r="S36" s="3" t="inlineStr">
        <is>
          <t>Held the NSA supports an implied private cause of action to enforce IDR awards and allowed enforcement claims to proceed.</t>
        </is>
      </c>
      <c r="T36" s="3" t="inlineStr">
        <is>
          <t>District court</t>
        </is>
      </c>
      <c r="U36" s="3" t="inlineStr">
        <is>
          <t>Interlocutory merits ruling</t>
        </is>
      </c>
      <c r="V36" s="3" t="inlineStr">
        <is>
          <t>Later Second Circuit East Coast decision on 2026-09-17 is controlling contrary appellate authority in the circuit. 6/16/2026: court granted the providers' motion to dismiss Aetna's counterclaims; the case continues.</t>
        </is>
      </c>
      <c r="W36" s="8" t="inlineStr">
        <is>
          <t>https://app.midpage.ai/document/guardian-flight-llc-v-aetna-11050925</t>
        </is>
      </c>
      <c r="X36" s="3" t="inlineStr">
        <is>
          <t>Direct enforcement</t>
        </is>
      </c>
      <c r="Y36" s="5" t="inlineStr">
        <is>
          <t>Yes</t>
        </is>
      </c>
      <c r="Z36" s="3" t="inlineStr">
        <is>
          <t>Positive district ruling now in tension with binding Second Circuit authority.</t>
        </is>
      </c>
      <c r="AA36" s="4" t="n">
        <v>46311</v>
      </c>
    </row>
    <row r="37" ht="24" customHeight="1" s="21">
      <c r="A37" s="2" t="inlineStr">
        <is>
          <t>NSA-036</t>
        </is>
      </c>
      <c r="B37" s="3" t="inlineStr">
        <is>
          <t>SpecialtyCare, Inc. et al. v. CareFirst of Maryland, Inc.</t>
        </is>
      </c>
      <c r="C37" s="3" t="inlineStr">
        <is>
          <t>SpecialtyCare, Inc. et al.</t>
        </is>
      </c>
      <c r="D37" s="3" t="inlineStr">
        <is>
          <t>CareFirst of Maryland, Inc.</t>
        </is>
      </c>
      <c r="E37" s="3" t="inlineStr">
        <is>
          <t>U.S. District Court, District of Maryland</t>
        </is>
      </c>
      <c r="F37" s="3" t="inlineStr">
        <is>
          <t>Federal District</t>
        </is>
      </c>
      <c r="G37" s="3" t="inlineStr">
        <is>
          <t>4th</t>
        </is>
      </c>
      <c r="H37" s="3" t="inlineStr">
        <is>
          <t>1:25-cv-00130-ABA</t>
        </is>
      </c>
      <c r="I37" s="4" t="n">
        <v>46182</v>
      </c>
      <c r="J37" s="3" t="inlineStr">
        <is>
          <t>MD</t>
        </is>
      </c>
      <c r="K37" s="3" t="inlineStr">
        <is>
          <t>MD</t>
        </is>
      </c>
      <c r="L37" s="5" t="inlineStr">
        <is>
          <t>Positive</t>
        </is>
      </c>
      <c r="M37" s="6">
        <f>IF(L37="Positive",1,IF(L37="Negative",-1,0))</f>
        <v/>
      </c>
      <c r="N37" s="3" t="inlineStr">
        <is>
          <t>Motion to dismiss denied as to NSA enforcement count</t>
        </is>
      </c>
      <c r="O37" s="3" t="inlineStr">
        <is>
          <t>Yes</t>
        </is>
      </c>
      <c r="P37" s="3" t="inlineStr">
        <is>
          <t>Not central</t>
        </is>
      </c>
      <c r="Q37" s="3" t="inlineStr">
        <is>
          <t>Not yet at this stage</t>
        </is>
      </c>
      <c r="R37" s="7" t="n"/>
      <c r="S37" s="3" t="inlineStr">
        <is>
          <t>Following PHI Health v. Optimum Choice, denied dismissal of the NSA enforcement count and allowed the provider's claim to proceed.</t>
        </is>
      </c>
      <c r="T37" s="3" t="inlineStr">
        <is>
          <t>District court</t>
        </is>
      </c>
      <c r="U37" s="3" t="inlineStr">
        <is>
          <t>Interlocutory merits ruling</t>
        </is>
      </c>
      <c r="V37" s="3" t="inlineStr">
        <is>
          <t>Case continued; monitor final disposition/appeal</t>
        </is>
      </c>
      <c r="W37" s="8" t="inlineStr">
        <is>
          <t>https://www2.mdd.uscourts.gov/Opinions/Opinions/2026-06-09%20SpecialtyCare%20granting%20in%20part%20MTD%20%2825-130%29.pdf</t>
        </is>
      </c>
      <c r="X37" s="3" t="inlineStr">
        <is>
          <t>Direct enforcement</t>
        </is>
      </c>
      <c r="Y37" s="5" t="inlineStr">
        <is>
          <t>Yes</t>
        </is>
      </c>
      <c r="Z37" s="3" t="inlineStr">
        <is>
          <t>Positive Fourth Circuit district authority; not a final confirmation judgment.</t>
        </is>
      </c>
      <c r="AA37" s="4" t="n">
        <v>46295</v>
      </c>
    </row>
    <row r="38" ht="36" customHeight="1" s="21">
      <c r="A38" s="2" t="inlineStr">
        <is>
          <t>NSA-037</t>
        </is>
      </c>
      <c r="B38" s="3" t="inlineStr">
        <is>
          <t>SpecialtyCare, Inc. et al. v. Health Care Service Corp. d/b/a BCBS Illinois</t>
        </is>
      </c>
      <c r="C38" s="3" t="inlineStr">
        <is>
          <t>SpecialtyCare, Inc. / Remote Neuromonitoring Physicians / Sentient Physicians</t>
        </is>
      </c>
      <c r="D38" s="3" t="inlineStr">
        <is>
          <t>Health Care Service Corp. d/b/a BCBS Illinois</t>
        </is>
      </c>
      <c r="E38" s="3" t="inlineStr">
        <is>
          <t>U.S. District Court, Northern District of Illinois</t>
        </is>
      </c>
      <c r="F38" s="3" t="inlineStr">
        <is>
          <t>Federal District</t>
        </is>
      </c>
      <c r="G38" s="3" t="inlineStr">
        <is>
          <t>7th</t>
        </is>
      </c>
      <c r="H38" s="3" t="inlineStr">
        <is>
          <t>1:24-cv-12935</t>
        </is>
      </c>
      <c r="I38" s="4" t="n">
        <v>46175</v>
      </c>
      <c r="J38" s="3" t="inlineStr">
        <is>
          <t>IL</t>
        </is>
      </c>
      <c r="K38" s="3" t="inlineStr">
        <is>
          <t>IL</t>
        </is>
      </c>
      <c r="L38" s="9" t="inlineStr">
        <is>
          <t>Negative</t>
        </is>
      </c>
      <c r="M38" s="10">
        <f>IF(L38="Positive",1,IF(L38="Negative",-1,0))</f>
        <v/>
      </c>
      <c r="N38" s="3" t="inlineStr">
        <is>
          <t>Federal claims dismissed</t>
        </is>
      </c>
      <c r="O38" s="3" t="inlineStr">
        <is>
          <t>No</t>
        </is>
      </c>
      <c r="P38" s="3" t="inlineStr">
        <is>
          <t>No</t>
        </is>
      </c>
      <c r="Q38" s="3" t="inlineStr">
        <is>
          <t>No</t>
        </is>
      </c>
      <c r="R38" s="7" t="n"/>
      <c r="S38" s="3" t="inlineStr">
        <is>
          <t>Dismissed federal NSA/FAA enforcement theories; state claims dismissed without prejudice.</t>
        </is>
      </c>
      <c r="T38" s="3" t="inlineStr">
        <is>
          <t>District court</t>
        </is>
      </c>
      <c r="U38" s="3" t="inlineStr">
        <is>
          <t>Final district ruling</t>
        </is>
      </c>
      <c r="V38" s="3" t="inlineStr">
        <is>
          <t>Appeal docketed in Seventh Circuit (related appellate litigation tracked)</t>
        </is>
      </c>
      <c r="W38" s="8" t="inlineStr">
        <is>
          <t>https://law.justia.com/cases/federal/district-courts/illinois/ilndce/1%3A2024cv12935/469834/73/</t>
        </is>
      </c>
      <c r="X38" s="3" t="inlineStr">
        <is>
          <t>Direct enforcement</t>
        </is>
      </c>
      <c r="Y38" s="9" t="inlineStr">
        <is>
          <t>Yes</t>
        </is>
      </c>
      <c r="Z38" s="3" t="inlineStr">
        <is>
          <t>Separate HCSC/BCBS Illinois case from the related BCBS Texas case.</t>
        </is>
      </c>
      <c r="AA38" s="4" t="n">
        <v>46295</v>
      </c>
    </row>
    <row r="39" ht="36" customHeight="1" s="21">
      <c r="A39" s="2" t="inlineStr">
        <is>
          <t>NSA-038</t>
        </is>
      </c>
      <c r="B39" s="3" t="inlineStr">
        <is>
          <t>SpecialtyCare, Inc. et al. v. Health Care Service Corp. d/b/a BCBS Texas</t>
        </is>
      </c>
      <c r="C39" s="3" t="inlineStr">
        <is>
          <t>SpecialtyCare, Inc. / Remote Neuromonitoring Physicians / Sentient Physicians</t>
        </is>
      </c>
      <c r="D39" s="3" t="inlineStr">
        <is>
          <t>Health Care Service Corp. d/b/a BCBS Texas</t>
        </is>
      </c>
      <c r="E39" s="3" t="inlineStr">
        <is>
          <t>U.S. District Court, Northern District of Illinois</t>
        </is>
      </c>
      <c r="F39" s="3" t="inlineStr">
        <is>
          <t>Federal District</t>
        </is>
      </c>
      <c r="G39" s="3" t="inlineStr">
        <is>
          <t>7th</t>
        </is>
      </c>
      <c r="H39" s="3" t="inlineStr">
        <is>
          <t>1:24-cv-12945</t>
        </is>
      </c>
      <c r="I39" s="4" t="n">
        <v>46175</v>
      </c>
      <c r="J39" s="3" t="inlineStr">
        <is>
          <t>IL</t>
        </is>
      </c>
      <c r="K39" s="3" t="inlineStr">
        <is>
          <t>TX</t>
        </is>
      </c>
      <c r="L39" s="9" t="inlineStr">
        <is>
          <t>Negative</t>
        </is>
      </c>
      <c r="M39" s="10">
        <f>IF(L39="Positive",1,IF(L39="Negative",-1,0))</f>
        <v/>
      </c>
      <c r="N39" s="3" t="inlineStr">
        <is>
          <t>Federal claims dismissed</t>
        </is>
      </c>
      <c r="O39" s="3" t="inlineStr">
        <is>
          <t>No</t>
        </is>
      </c>
      <c r="P39" s="3" t="inlineStr">
        <is>
          <t>No</t>
        </is>
      </c>
      <c r="Q39" s="3" t="inlineStr">
        <is>
          <t>No</t>
        </is>
      </c>
      <c r="R39" s="7" t="n"/>
      <c r="S39" s="3" t="inlineStr">
        <is>
          <t>Dismissed federal NSA/FAA enforcement theories; state claims dismissed without prejudice.</t>
        </is>
      </c>
      <c r="T39" s="3" t="inlineStr">
        <is>
          <t>District court</t>
        </is>
      </c>
      <c r="U39" s="3" t="inlineStr">
        <is>
          <t>Final district ruling</t>
        </is>
      </c>
      <c r="V39" s="3" t="inlineStr">
        <is>
          <t>Appeal docketed in Seventh Circuit</t>
        </is>
      </c>
      <c r="W39" s="8" t="inlineStr">
        <is>
          <t>https://law.justia.com/cases/federal/district-courts/illinois/ilndce/1%3A2024cv12945/469844/73/</t>
        </is>
      </c>
      <c r="X39" s="3" t="inlineStr">
        <is>
          <t>Direct enforcement</t>
        </is>
      </c>
      <c r="Y39" s="9" t="inlineStr">
        <is>
          <t>Yes</t>
        </is>
      </c>
      <c r="Z39" s="3" t="inlineStr">
        <is>
          <t>Court State is Illinois; Plan/Origin State is Texas.</t>
        </is>
      </c>
      <c r="AA39" s="4" t="n">
        <v>46295</v>
      </c>
    </row>
    <row r="40" ht="24" customHeight="1" s="21">
      <c r="A40" s="2" t="inlineStr">
        <is>
          <t>NSA-039</t>
        </is>
      </c>
      <c r="B40" s="3" t="inlineStr">
        <is>
          <t>PHI Health, LLC v. Health Care Service Corp. d/b/a Blue Cross Blue Shield of Texas</t>
        </is>
      </c>
      <c r="C40" s="3" t="inlineStr">
        <is>
          <t>PHI Health, LLC</t>
        </is>
      </c>
      <c r="D40" s="3" t="inlineStr">
        <is>
          <t>Health Care Service Corp. d/b/a BCBS Texas</t>
        </is>
      </c>
      <c r="E40" s="3" t="inlineStr">
        <is>
          <t>U.S. District Court, Northern District of Illinois</t>
        </is>
      </c>
      <c r="F40" s="3" t="inlineStr">
        <is>
          <t>Federal District</t>
        </is>
      </c>
      <c r="G40" s="3" t="inlineStr">
        <is>
          <t>7th</t>
        </is>
      </c>
      <c r="H40" s="3" t="inlineStr">
        <is>
          <t>1:25-cv-12406</t>
        </is>
      </c>
      <c r="I40" s="4" t="n">
        <v>46196</v>
      </c>
      <c r="J40" s="3" t="inlineStr">
        <is>
          <t>IL</t>
        </is>
      </c>
      <c r="K40" s="3" t="inlineStr">
        <is>
          <t>TX</t>
        </is>
      </c>
      <c r="L40" s="9" t="inlineStr">
        <is>
          <t>Negative</t>
        </is>
      </c>
      <c r="M40" s="10">
        <f>IF(L40="Positive",1,IF(L40="Negative",-1,0))</f>
        <v/>
      </c>
      <c r="N40" s="3" t="inlineStr">
        <is>
          <t>Enforcement claims dismissed</t>
        </is>
      </c>
      <c r="O40" s="3" t="inlineStr">
        <is>
          <t>No</t>
        </is>
      </c>
      <c r="P40" s="3" t="inlineStr">
        <is>
          <t>No</t>
        </is>
      </c>
      <c r="Q40" s="3" t="inlineStr">
        <is>
          <t>No</t>
        </is>
      </c>
      <c r="R40" s="7" t="n"/>
      <c r="S40" s="3" t="inlineStr">
        <is>
          <t>Rejected NSA private right, FAA confirmation, and related declaratory/state consumer-fraud theories seeking payment of IDR awards.</t>
        </is>
      </c>
      <c r="T40" s="3" t="inlineStr">
        <is>
          <t>District court</t>
        </is>
      </c>
      <c r="U40" s="3" t="inlineStr">
        <is>
          <t>Final district ruling</t>
        </is>
      </c>
      <c r="V40" s="3" t="inlineStr">
        <is>
          <t>Appeal filed in 2026</t>
        </is>
      </c>
      <c r="W40" s="8" t="inlineStr">
        <is>
          <t>https://law.justia.com/cases/federal/district-courts/illinois/ilndce/1%3A2025cv12406/487898/62/</t>
        </is>
      </c>
      <c r="X40" s="3" t="inlineStr">
        <is>
          <t>Direct enforcement</t>
        </is>
      </c>
      <c r="Y40" s="9" t="inlineStr">
        <is>
          <t>Yes</t>
        </is>
      </c>
      <c r="Z40" s="3" t="inlineStr">
        <is>
          <t>Court State is Illinois; underlying BCBS market is Texas.</t>
        </is>
      </c>
      <c r="AA40" s="4" t="n">
        <v>46295</v>
      </c>
    </row>
    <row r="41" ht="24" customHeight="1" s="21">
      <c r="A41" s="2" t="inlineStr">
        <is>
          <t>NSA-040</t>
        </is>
      </c>
      <c r="B41" s="3" t="inlineStr">
        <is>
          <t>PHI Health, L.L.C. v. Custom Design Benefits, L.L.C.</t>
        </is>
      </c>
      <c r="C41" s="3" t="inlineStr">
        <is>
          <t>PHI Health, LLC</t>
        </is>
      </c>
      <c r="D41" s="3" t="inlineStr">
        <is>
          <t>Custom Design Benefits, LLC / Bob Sumeral Tire Co.</t>
        </is>
      </c>
      <c r="E41" s="3" t="inlineStr">
        <is>
          <t>Ohio Court of Appeals, First District</t>
        </is>
      </c>
      <c r="F41" s="3" t="inlineStr">
        <is>
          <t>State Appellate</t>
        </is>
      </c>
      <c r="G41" s="3" t="inlineStr">
        <is>
          <t>N/A</t>
        </is>
      </c>
      <c r="H41" s="3" t="inlineStr">
        <is>
          <t>C-250606</t>
        </is>
      </c>
      <c r="I41" s="4" t="n">
        <v>46211</v>
      </c>
      <c r="J41" s="3" t="inlineStr">
        <is>
          <t>OH</t>
        </is>
      </c>
      <c r="K41" s="3" t="inlineStr">
        <is>
          <t>OH</t>
        </is>
      </c>
      <c r="L41" s="9" t="inlineStr">
        <is>
          <t>Negative</t>
        </is>
      </c>
      <c r="M41" s="10">
        <f>IF(L41="Positive",1,IF(L41="Negative",-1,0))</f>
        <v/>
      </c>
      <c r="N41" s="3" t="inlineStr">
        <is>
          <t>Trial dismissal affirmed</t>
        </is>
      </c>
      <c r="O41" s="3" t="inlineStr">
        <is>
          <t>No</t>
        </is>
      </c>
      <c r="P41" s="3" t="inlineStr">
        <is>
          <t>No</t>
        </is>
      </c>
      <c r="Q41" s="3" t="inlineStr">
        <is>
          <t>No</t>
        </is>
      </c>
      <c r="R41" s="7" t="n"/>
      <c r="S41" s="3" t="inlineStr">
        <is>
          <t>Held the NSA does not authorize private lawsuits to enforce IDR awards and that NSA awards are not enforceable under the FAA or Ohio Arbitration Act.</t>
        </is>
      </c>
      <c r="T41" s="3" t="inlineStr">
        <is>
          <t>Published state appellate precedent</t>
        </is>
      </c>
      <c r="U41" s="3" t="inlineStr">
        <is>
          <t>Final appellate ruling</t>
        </is>
      </c>
      <c r="V41" s="3" t="inlineStr">
        <is>
          <t>Affirmed Hamilton County trial-court dismissal</t>
        </is>
      </c>
      <c r="W41" s="8" t="inlineStr">
        <is>
          <t>https://law.justia.com/cases/ohio/first-district-court-of-appeals/2026/c-250606.html</t>
        </is>
      </c>
      <c r="X41" s="3" t="inlineStr">
        <is>
          <t>Direct enforcement</t>
        </is>
      </c>
      <c r="Y41" s="9" t="inlineStr">
        <is>
          <t>Yes</t>
        </is>
      </c>
      <c r="Z41" s="3" t="inlineStr">
        <is>
          <t>Significant published state appellate decision applying federal and state arbitration theories.</t>
        </is>
      </c>
      <c r="AA41" s="4" t="n">
        <v>46295</v>
      </c>
    </row>
    <row r="42" ht="24" customHeight="1" s="21">
      <c r="A42" s="2" t="inlineStr">
        <is>
          <t>NSA-041</t>
        </is>
      </c>
      <c r="B42" s="3" t="inlineStr">
        <is>
          <t>SpecialtyCare, Inc. v. Kaiser Foundation Health Plan</t>
        </is>
      </c>
      <c r="C42" s="3" t="inlineStr">
        <is>
          <t>SpecialtyCare, Inc. et al.</t>
        </is>
      </c>
      <c r="D42" s="3" t="inlineStr">
        <is>
          <t>Kaiser Foundation Health Plan</t>
        </is>
      </c>
      <c r="E42" s="3" t="inlineStr">
        <is>
          <t>U.S. District Court, Northern District of California</t>
        </is>
      </c>
      <c r="F42" s="3" t="inlineStr">
        <is>
          <t>Federal District</t>
        </is>
      </c>
      <c r="G42" s="3" t="inlineStr">
        <is>
          <t>9th</t>
        </is>
      </c>
      <c r="H42" s="3" t="inlineStr">
        <is>
          <t>4:24-cv-09342</t>
        </is>
      </c>
      <c r="I42" s="4" t="n">
        <v>46218</v>
      </c>
      <c r="J42" s="3" t="inlineStr">
        <is>
          <t>CA</t>
        </is>
      </c>
      <c r="K42" s="3" t="inlineStr">
        <is>
          <t>CA</t>
        </is>
      </c>
      <c r="L42" s="9" t="inlineStr">
        <is>
          <t>Negative</t>
        </is>
      </c>
      <c r="M42" s="10">
        <f>IF(L42="Positive",1,IF(L42="Negative",-1,0))</f>
        <v/>
      </c>
      <c r="N42" s="3" t="inlineStr">
        <is>
          <t>NSA enforcement claims dismissed</t>
        </is>
      </c>
      <c r="O42" s="3" t="inlineStr">
        <is>
          <t>No</t>
        </is>
      </c>
      <c r="P42" s="3" t="inlineStr">
        <is>
          <t>No</t>
        </is>
      </c>
      <c r="Q42" s="3" t="inlineStr">
        <is>
          <t>No</t>
        </is>
      </c>
      <c r="R42" s="7" t="n"/>
      <c r="S42" s="3" t="inlineStr">
        <is>
          <t>Dismissed NSA enforcement theories; allowed only limited opportunity relating to a state UCL theory.</t>
        </is>
      </c>
      <c r="T42" s="3" t="inlineStr">
        <is>
          <t>District court</t>
        </is>
      </c>
      <c r="U42" s="3" t="inlineStr">
        <is>
          <t>Final as to federal enforcement theory</t>
        </is>
      </c>
      <c r="V42" s="3" t="inlineStr">
        <is>
          <t>Monitor amended state-law claim if relevant. Providers appealed to the Ninth Circuit on 7/22/2026 (see Pending Cases).</t>
        </is>
      </c>
      <c r="W42" s="8" t="inlineStr">
        <is>
          <t>https://law.justia.com/cases/federal/district-courts/california/candce/4%3A2024cv09342/441763/82/</t>
        </is>
      </c>
      <c r="X42" s="3" t="inlineStr">
        <is>
          <t>Direct enforcement</t>
        </is>
      </c>
      <c r="Y42" s="9" t="inlineStr">
        <is>
          <t>Yes</t>
        </is>
      </c>
      <c r="Z42" s="3" t="inlineStr">
        <is>
          <t>Code as negative for federal NSA enforcement; state-law claim posture was not identical.</t>
        </is>
      </c>
      <c r="AA42" s="4" t="n">
        <v>46311</v>
      </c>
    </row>
    <row r="43" ht="24" customHeight="1" s="21">
      <c r="A43" s="2" t="inlineStr">
        <is>
          <t>NSA-042</t>
        </is>
      </c>
      <c r="B43" s="3" t="inlineStr">
        <is>
          <t>Shareef Jandali Plastic Surgery, LLC v. Cigna Health and Life Insurance Co.</t>
        </is>
      </c>
      <c r="C43" s="3" t="inlineStr">
        <is>
          <t>Shareef Jandali Plastic Surgery, LLC</t>
        </is>
      </c>
      <c r="D43" s="3" t="inlineStr">
        <is>
          <t>Cigna Health and Life Insurance Co.</t>
        </is>
      </c>
      <c r="E43" s="3" t="inlineStr">
        <is>
          <t>U.S. District Court, District of Connecticut</t>
        </is>
      </c>
      <c r="F43" s="3" t="inlineStr">
        <is>
          <t>Federal District</t>
        </is>
      </c>
      <c r="G43" s="3" t="inlineStr">
        <is>
          <t>2d</t>
        </is>
      </c>
      <c r="H43" s="3" t="inlineStr">
        <is>
          <t>3:25-cv-01168</t>
        </is>
      </c>
      <c r="I43" s="4" t="n">
        <v>46224</v>
      </c>
      <c r="J43" s="3" t="inlineStr">
        <is>
          <t>CT</t>
        </is>
      </c>
      <c r="K43" s="3" t="inlineStr">
        <is>
          <t>CT</t>
        </is>
      </c>
      <c r="L43" s="5" t="inlineStr">
        <is>
          <t>Positive</t>
        </is>
      </c>
      <c r="M43" s="6">
        <f>IF(L43="Positive",1,IF(L43="Negative",-1,0))</f>
        <v/>
      </c>
      <c r="N43" s="3" t="inlineStr">
        <is>
          <t>Confirmation / summary judgment granted</t>
        </is>
      </c>
      <c r="O43" s="3" t="inlineStr">
        <is>
          <t>Yes</t>
        </is>
      </c>
      <c r="P43" s="3" t="inlineStr">
        <is>
          <t>Confirmation granted</t>
        </is>
      </c>
      <c r="Q43" s="3" t="inlineStr">
        <is>
          <t>Yes</t>
        </is>
      </c>
      <c r="R43" s="7" t="n">
        <v>31500</v>
      </c>
      <c r="S43" s="3" t="inlineStr">
        <is>
          <t>Denied Cigna's dismissal motion and granted provider confirmation/summary judgment, ordering confirmation of the IDR award.</t>
        </is>
      </c>
      <c r="T43" s="3" t="inlineStr">
        <is>
          <t>District court</t>
        </is>
      </c>
      <c r="U43" s="3" t="inlineStr">
        <is>
          <t>Final confirmation judgment</t>
        </is>
      </c>
      <c r="V43" s="3" t="inlineStr">
        <is>
          <t>Appeal filed in Second Circuit in Aug. 2026; later East Coast appellate decision is controlling on private right issue</t>
        </is>
      </c>
      <c r="W43" s="8" t="inlineStr">
        <is>
          <t>https://docs.justia.com/cases/federal/district-courts/connecticut/ctdce/3%3A2025cv01168/166001/36</t>
        </is>
      </c>
      <c r="X43" s="3" t="inlineStr">
        <is>
          <t>Direct enforcement</t>
        </is>
      </c>
      <c r="Y43" s="5" t="inlineStr">
        <is>
          <t>Yes</t>
        </is>
      </c>
      <c r="Z43" s="3" t="inlineStr">
        <is>
          <t>Strong positive district outcome, but appellate status and later Second Circuit authority should be displayed.</t>
        </is>
      </c>
      <c r="AA43" s="4" t="n">
        <v>46295</v>
      </c>
    </row>
    <row r="44" ht="24" customHeight="1" s="21">
      <c r="A44" s="2" t="inlineStr">
        <is>
          <t>NSA-043</t>
        </is>
      </c>
      <c r="B44" s="3" t="inlineStr">
        <is>
          <t>PHI Health, LLC v. Health Care Service Corp.</t>
        </is>
      </c>
      <c r="C44" s="3" t="inlineStr">
        <is>
          <t>PHI Health, LLC</t>
        </is>
      </c>
      <c r="D44" s="3" t="inlineStr">
        <is>
          <t>Health Care Service Corp.</t>
        </is>
      </c>
      <c r="E44" s="3" t="inlineStr">
        <is>
          <t>U.S. District Court, Northern District of Illinois</t>
        </is>
      </c>
      <c r="F44" s="3" t="inlineStr">
        <is>
          <t>Federal District</t>
        </is>
      </c>
      <c r="G44" s="3" t="inlineStr">
        <is>
          <t>7th</t>
        </is>
      </c>
      <c r="H44" s="3" t="inlineStr">
        <is>
          <t>1:26-cv-02954</t>
        </is>
      </c>
      <c r="I44" s="4" t="n">
        <v>46239</v>
      </c>
      <c r="J44" s="3" t="inlineStr">
        <is>
          <t>IL</t>
        </is>
      </c>
      <c r="K44" s="3" t="inlineStr">
        <is>
          <t>IL</t>
        </is>
      </c>
      <c r="L44" s="9" t="inlineStr">
        <is>
          <t>Negative</t>
        </is>
      </c>
      <c r="M44" s="10">
        <f>IF(L44="Positive",1,IF(L44="Negative",-1,0))</f>
        <v/>
      </c>
      <c r="N44" s="3" t="inlineStr">
        <is>
          <t>Motion to dismiss granted</t>
        </is>
      </c>
      <c r="O44" s="3" t="inlineStr">
        <is>
          <t>No</t>
        </is>
      </c>
      <c r="P44" s="3" t="inlineStr">
        <is>
          <t>No</t>
        </is>
      </c>
      <c r="Q44" s="3" t="inlineStr">
        <is>
          <t>No</t>
        </is>
      </c>
      <c r="R44" s="7" t="n"/>
      <c r="S44" s="3" t="inlineStr">
        <is>
          <t>Granted motion to dismiss provider's amended enforcement claims; leave to seek amendment was addressed separately.</t>
        </is>
      </c>
      <c r="T44" s="3" t="inlineStr">
        <is>
          <t>District court</t>
        </is>
      </c>
      <c r="U44" s="3" t="inlineStr">
        <is>
          <t>Final district merits order at that pleading stage</t>
        </is>
      </c>
      <c r="V44" s="3" t="inlineStr">
        <is>
          <t>Appeal filed 2026-08-19</t>
        </is>
      </c>
      <c r="W44" s="8" t="inlineStr">
        <is>
          <t>https://docs.justia.com/cases/federal/district-courts/illinois/ilndce/1%3A2026cv02954/497142/42</t>
        </is>
      </c>
      <c r="X44" s="3" t="inlineStr">
        <is>
          <t>Direct enforcement</t>
        </is>
      </c>
      <c r="Y44" s="9" t="inlineStr">
        <is>
          <t>Yes</t>
        </is>
      </c>
      <c r="Z44" s="3" t="inlineStr">
        <is>
          <t>Litigation tracker reports appeal filed; keep appellate status updated.</t>
        </is>
      </c>
      <c r="AA44" s="4" t="n">
        <v>46295</v>
      </c>
    </row>
    <row r="45" ht="36" customHeight="1" s="21">
      <c r="A45" s="2" t="inlineStr">
        <is>
          <t>NSA-044</t>
        </is>
      </c>
      <c r="B45" s="3" t="inlineStr">
        <is>
          <t>Savalia v. Anthem Blue Cross Life &amp; Health Insurance Co.</t>
        </is>
      </c>
      <c r="C45" s="3" t="inlineStr">
        <is>
          <t>Savalia</t>
        </is>
      </c>
      <c r="D45" s="3" t="inlineStr">
        <is>
          <t>Anthem Blue Cross Life &amp; Health Insurance Co.</t>
        </is>
      </c>
      <c r="E45" s="3" t="inlineStr">
        <is>
          <t>U.S. District Court, Central District of California</t>
        </is>
      </c>
      <c r="F45" s="3" t="inlineStr">
        <is>
          <t>Federal District</t>
        </is>
      </c>
      <c r="G45" s="3" t="inlineStr">
        <is>
          <t>9th</t>
        </is>
      </c>
      <c r="H45" s="3" t="inlineStr">
        <is>
          <t>26-cv-00736-FWS-KES</t>
        </is>
      </c>
      <c r="I45" s="4" t="n">
        <v>46268</v>
      </c>
      <c r="J45" s="3" t="inlineStr">
        <is>
          <t>CA</t>
        </is>
      </c>
      <c r="K45" s="3" t="inlineStr">
        <is>
          <t>CA</t>
        </is>
      </c>
      <c r="L45" s="9" t="inlineStr">
        <is>
          <t>Negative</t>
        </is>
      </c>
      <c r="M45" s="10">
        <f>IF(L45="Positive",1,IF(L45="Negative",-1,0))</f>
        <v/>
      </c>
      <c r="N45" s="3" t="inlineStr">
        <is>
          <t>State-law workaround rejected</t>
        </is>
      </c>
      <c r="O45" s="3" t="inlineStr">
        <is>
          <t>No</t>
        </is>
      </c>
      <c r="P45" s="3" t="inlineStr">
        <is>
          <t>No</t>
        </is>
      </c>
      <c r="Q45" s="3" t="inlineStr">
        <is>
          <t>No</t>
        </is>
      </c>
      <c r="R45" s="7" t="n"/>
      <c r="S45" s="3" t="inlineStr">
        <is>
          <t>Held state-law claims could not be used to invent an enforcement right that the NSA does not provide.</t>
        </is>
      </c>
      <c r="T45" s="3" t="inlineStr">
        <is>
          <t>District court</t>
        </is>
      </c>
      <c r="U45" s="3" t="inlineStr">
        <is>
          <t>Final/merits dismissal as cited by subsequent decision</t>
        </is>
      </c>
      <c r="V45" s="3" t="inlineStr">
        <is>
          <t>No subsequent appellate decision identified in public search</t>
        </is>
      </c>
      <c r="W45" s="8" t="inlineStr">
        <is>
          <t>https://law.justia.com/cases/federal/district-courts/california/candce/5%3A2026cv04326/469823/41/</t>
        </is>
      </c>
      <c r="X45" s="3" t="inlineStr">
        <is>
          <t>Direct enforcement / cited decision</t>
        </is>
      </c>
      <c r="Y45" s="9" t="inlineStr">
        <is>
          <t>Yes</t>
        </is>
      </c>
      <c r="Z45" s="3" t="inlineStr">
        <is>
          <t>Primary opinion was identified through citation in California Spine; source URL points to subsequent decision quoting Savalia. Verify direct docket link before public publication.</t>
        </is>
      </c>
      <c r="AA45" s="4" t="n">
        <v>46295</v>
      </c>
    </row>
    <row r="46" ht="24" customHeight="1" s="21">
      <c r="A46" s="2" t="inlineStr">
        <is>
          <t>NSA-045</t>
        </is>
      </c>
      <c r="B46" s="3" t="inlineStr">
        <is>
          <t>East Coast Advanced Plastic Surgery, LLC v. Cigna Health and Life Insurance Co.</t>
        </is>
      </c>
      <c r="C46" s="3" t="inlineStr">
        <is>
          <t>East Coast Advanced Plastic Surgery, LLC</t>
        </is>
      </c>
      <c r="D46" s="3" t="inlineStr">
        <is>
          <t>Cigna Health and Life Insurance Co. / Connecticut General</t>
        </is>
      </c>
      <c r="E46" s="3" t="inlineStr">
        <is>
          <t>U.S. Court of Appeals for the Second Circuit</t>
        </is>
      </c>
      <c r="F46" s="3" t="inlineStr">
        <is>
          <t>Federal Appellate</t>
        </is>
      </c>
      <c r="G46" s="3" t="inlineStr">
        <is>
          <t>2d</t>
        </is>
      </c>
      <c r="H46" s="3" t="inlineStr">
        <is>
          <t>25-2204</t>
        </is>
      </c>
      <c r="I46" s="4" t="n">
        <v>46282</v>
      </c>
      <c r="J46" s="3" t="inlineStr">
        <is>
          <t>NY</t>
        </is>
      </c>
      <c r="K46" s="3" t="inlineStr">
        <is>
          <t>NY</t>
        </is>
      </c>
      <c r="L46" s="9" t="inlineStr">
        <is>
          <t>Negative</t>
        </is>
      </c>
      <c r="M46" s="10">
        <f>IF(L46="Positive",1,IF(L46="Negative",-1,0))</f>
        <v/>
      </c>
      <c r="N46" s="3" t="inlineStr">
        <is>
          <t>District dismissal affirmed</t>
        </is>
      </c>
      <c r="O46" s="3" t="inlineStr">
        <is>
          <t>No</t>
        </is>
      </c>
      <c r="P46" s="3" t="inlineStr">
        <is>
          <t>No</t>
        </is>
      </c>
      <c r="Q46" s="3" t="inlineStr">
        <is>
          <t>No</t>
        </is>
      </c>
      <c r="R46" s="7" t="n">
        <v>3000000</v>
      </c>
      <c r="S46" s="3" t="inlineStr">
        <is>
          <t>Held the NSA does not create an implied private right of action to enforce payment awards; enforcement is assigned to administrative mechanisms.</t>
        </is>
      </c>
      <c r="T46" s="3" t="inlineStr">
        <is>
          <t>Binding appellate precedent</t>
        </is>
      </c>
      <c r="U46" s="3" t="inlineStr">
        <is>
          <t>Final appellate ruling</t>
        </is>
      </c>
      <c r="V46" s="3" t="inlineStr">
        <is>
          <t>Binding within Second Circuit unless rehearing/Supreme Court changes law</t>
        </is>
      </c>
      <c r="W46" s="8" t="inlineStr">
        <is>
          <t>https://law.justia.com/cases/federal/appellate-courts/ca2/25-2204/25-2204-2026-09-17.html</t>
        </is>
      </c>
      <c r="X46" s="3" t="inlineStr">
        <is>
          <t>Direct enforcement</t>
        </is>
      </c>
      <c r="Y46" s="9" t="inlineStr">
        <is>
          <t>Yes</t>
        </is>
      </c>
      <c r="Z46" s="3" t="inlineStr">
        <is>
          <t>Controlling authority for NY/CT/VT; directly impacts contrary Connecticut district decisions.</t>
        </is>
      </c>
      <c r="AA46" s="4" t="n">
        <v>46295</v>
      </c>
    </row>
    <row r="47" ht="24" customHeight="1" s="21">
      <c r="A47" s="2" t="inlineStr">
        <is>
          <t>NSA-046</t>
        </is>
      </c>
      <c r="B47" s="3" t="inlineStr">
        <is>
          <t>California Spine and Neurosurgery Institute d/b/a San Jose Neurospine v. Microsoft Corp. et al.</t>
        </is>
      </c>
      <c r="C47" s="3" t="inlineStr">
        <is>
          <t>California Spine and Neurosurgery Institute</t>
        </is>
      </c>
      <c r="D47" s="3" t="inlineStr">
        <is>
          <t>Microsoft Corp. / Anthem entities</t>
        </is>
      </c>
      <c r="E47" s="3" t="inlineStr">
        <is>
          <t>U.S. District Court, Northern District of California</t>
        </is>
      </c>
      <c r="F47" s="3" t="inlineStr">
        <is>
          <t>Federal District</t>
        </is>
      </c>
      <c r="G47" s="3" t="inlineStr">
        <is>
          <t>9th</t>
        </is>
      </c>
      <c r="H47" s="3" t="inlineStr">
        <is>
          <t>5:26-cv-04326</t>
        </is>
      </c>
      <c r="I47" s="4" t="n">
        <v>46288</v>
      </c>
      <c r="J47" s="3" t="inlineStr">
        <is>
          <t>CA</t>
        </is>
      </c>
      <c r="K47" s="3" t="inlineStr">
        <is>
          <t>CA</t>
        </is>
      </c>
      <c r="L47" s="9" t="inlineStr">
        <is>
          <t>Negative</t>
        </is>
      </c>
      <c r="M47" s="10">
        <f>IF(L47="Positive",1,IF(L47="Negative",-1,0))</f>
        <v/>
      </c>
      <c r="N47" s="3" t="inlineStr">
        <is>
          <t>All enforcement claims dismissed</t>
        </is>
      </c>
      <c r="O47" s="3" t="inlineStr">
        <is>
          <t>No</t>
        </is>
      </c>
      <c r="P47" s="3" t="inlineStr">
        <is>
          <t>No</t>
        </is>
      </c>
      <c r="Q47" s="3" t="inlineStr">
        <is>
          <t>No</t>
        </is>
      </c>
      <c r="R47" s="7" t="n">
        <v>71888.85000000001</v>
      </c>
      <c r="S47" s="3" t="inlineStr">
        <is>
          <t>Dismissed all claims seeking payment of NSA IDR awards and held state-law claims could not be used to circumvent the absence of an NSA private right of action.</t>
        </is>
      </c>
      <c r="T47" s="3" t="inlineStr">
        <is>
          <t>District court</t>
        </is>
      </c>
      <c r="U47" s="3" t="inlineStr">
        <is>
          <t>Final district dismissal</t>
        </is>
      </c>
      <c r="V47" s="3" t="inlineStr">
        <is>
          <t>No subsequent appellate decision identified as of 2026-09-29</t>
        </is>
      </c>
      <c r="W47" s="8" t="inlineStr">
        <is>
          <t>https://law.justia.com/cases/federal/district-courts/california/candce/5%3A2026cv04326/469823/41/</t>
        </is>
      </c>
      <c r="X47" s="3" t="inlineStr">
        <is>
          <t>Direct enforcement</t>
        </is>
      </c>
      <c r="Y47" s="9" t="inlineStr">
        <is>
          <t>Yes</t>
        </is>
      </c>
      <c r="Z47" s="3" t="inlineStr">
        <is>
          <t>One of the most recent public enforcement decisions as of workbook date.</t>
        </is>
      </c>
      <c r="AA47" s="4" t="n">
        <v>46295</v>
      </c>
    </row>
    <row r="48" ht="48" customHeight="1" s="21">
      <c r="A48" s="2" t="inlineStr">
        <is>
          <t>NSA-047</t>
        </is>
      </c>
      <c r="B48" s="3" t="inlineStr">
        <is>
          <t>AA Med., P.C. v. Aetna Life Insurance Co.</t>
        </is>
      </c>
      <c r="C48" s="3" t="inlineStr">
        <is>
          <t>AA Medical, P.C.</t>
        </is>
      </c>
      <c r="D48" s="3" t="inlineStr">
        <is>
          <t>Aetna Life Insurance Company</t>
        </is>
      </c>
      <c r="E48" s="3" t="inlineStr">
        <is>
          <t>Supreme Court of the State of New York, Suffolk County</t>
        </is>
      </c>
      <c r="F48" s="3" t="inlineStr">
        <is>
          <t>State Trial</t>
        </is>
      </c>
      <c r="G48" s="3" t="inlineStr">
        <is>
          <t>2d</t>
        </is>
      </c>
      <c r="H48" s="3" t="inlineStr">
        <is>
          <t>604606/2026</t>
        </is>
      </c>
      <c r="I48" s="4" t="n">
        <v>46259</v>
      </c>
      <c r="J48" s="3" t="inlineStr">
        <is>
          <t>NY</t>
        </is>
      </c>
      <c r="K48" s="3" t="inlineStr">
        <is>
          <t>NY</t>
        </is>
      </c>
      <c r="L48" s="9" t="inlineStr">
        <is>
          <t>Negative</t>
        </is>
      </c>
      <c r="M48" s="10">
        <f>IF(L48="Positive",1,IF(L48="Negative",-1,0))</f>
        <v/>
      </c>
      <c r="N48" s="3" t="inlineStr">
        <is>
          <t>Motion to dismiss granted</t>
        </is>
      </c>
      <c r="O48" s="3" t="inlineStr">
        <is>
          <t>No / agency enforcement</t>
        </is>
      </c>
      <c r="P48" s="3" t="inlineStr">
        <is>
          <t>Not asserted</t>
        </is>
      </c>
      <c r="Q48" s="3" t="inlineStr">
        <is>
          <t>No</t>
        </is>
      </c>
      <c r="R48" s="7" t="n"/>
      <c r="S48" s="3" t="inlineStr">
        <is>
          <t>Dismissed the provider's New York common-law claims seeking payment after federal IDR determinations, reasoning that because the parties used the federal IDR process, the remedy for nonpayment is agency enforcement rather than an alternative common-law action.</t>
        </is>
      </c>
      <c r="T48" s="3" t="inlineStr">
        <is>
          <t>State trial court</t>
        </is>
      </c>
      <c r="U48" s="3" t="inlineStr">
        <is>
          <t>Dismissal</t>
        </is>
      </c>
      <c r="V48" s="3" t="inlineStr">
        <is>
          <t>No appellate decision located as of 2026-09-30; monitor for appeal.</t>
        </is>
      </c>
      <c r="W48" s="8" t="inlineStr">
        <is>
          <t>https://www.nycourts.gov/reporter/current/3dseries/2026/2026_26143.shtml</t>
        </is>
      </c>
      <c r="X48" s="3" t="inlineStr">
        <is>
          <t>Direct enforcement</t>
        </is>
      </c>
      <c r="Y48" s="9" t="inlineStr">
        <is>
          <t>Yes</t>
        </is>
      </c>
      <c r="Z48" s="3" t="inlineStr">
        <is>
          <t>State trial-level authority; not binding outside the case and subject to appeal.</t>
        </is>
      </c>
      <c r="AA48" s="4" t="n">
        <v>46295</v>
      </c>
    </row>
    <row r="49" ht="36" customHeight="1" s="21">
      <c r="A49" s="2" t="inlineStr">
        <is>
          <t>NSA-048</t>
        </is>
      </c>
      <c r="B49" s="3" t="inlineStr">
        <is>
          <t>Shareef Jandali Plastic Surgery, LLC v. Cigna Health and Life Insurance Co.</t>
        </is>
      </c>
      <c r="C49" s="3" t="inlineStr">
        <is>
          <t>Shareef Jandali Plastic Surgery, LLC</t>
        </is>
      </c>
      <c r="D49" s="3" t="inlineStr">
        <is>
          <t>Cigna Health and Life Insurance Co.</t>
        </is>
      </c>
      <c r="E49" s="3" t="inlineStr">
        <is>
          <t>U.S. District Court, District of Connecticut</t>
        </is>
      </c>
      <c r="F49" s="3" t="inlineStr">
        <is>
          <t>Federal District</t>
        </is>
      </c>
      <c r="G49" s="3" t="inlineStr">
        <is>
          <t>2d</t>
        </is>
      </c>
      <c r="H49" s="3" t="inlineStr">
        <is>
          <t>3:25-cv-01367</t>
        </is>
      </c>
      <c r="I49" s="4" t="n">
        <v>46224</v>
      </c>
      <c r="J49" s="3" t="inlineStr">
        <is>
          <t>CT</t>
        </is>
      </c>
      <c r="K49" s="3" t="inlineStr">
        <is>
          <t>CT</t>
        </is>
      </c>
      <c r="L49" s="9" t="inlineStr">
        <is>
          <t>Positive</t>
        </is>
      </c>
      <c r="M49" s="10">
        <f>IF(L49="Positive",1,IF(L49="Negative",-1,0))</f>
        <v/>
      </c>
      <c r="N49" s="3" t="inlineStr">
        <is>
          <t>Motion to dismiss denied / confirmation granted</t>
        </is>
      </c>
      <c r="O49" s="3" t="inlineStr">
        <is>
          <t>Yes</t>
        </is>
      </c>
      <c r="P49" s="3" t="inlineStr">
        <is>
          <t>Not relied on; enforced under the NSA itself</t>
        </is>
      </c>
      <c r="Q49" s="3" t="inlineStr">
        <is>
          <t>Yes</t>
        </is>
      </c>
      <c r="R49" s="7" t="n">
        <v>74190.2</v>
      </c>
      <c r="S49" s="3" t="inlineStr">
        <is>
          <t>Denied Cigna's motion to dismiss, holding the NSA creates a federal cause of action to enforce IDR awards, and entered judgment confirming three IDR awards totalling $74,190.20.</t>
        </is>
      </c>
      <c r="T49" s="3" t="inlineStr">
        <is>
          <t>District court</t>
        </is>
      </c>
      <c r="U49" s="3" t="inlineStr">
        <is>
          <t>Final confirmation judgment</t>
        </is>
      </c>
      <c r="V49" s="3" t="inlineStr">
        <is>
          <t>Cigna's Second Circuit appeals 26-2287 and 26-2291 (Pending Cases) are listed against the D. Conn. Jandali judgment in NSA-042; whether Cigna also appealed this docket is not confirmed. Later East Coast (2d Cir. Sept. 17, 2026) holds no private right of action.</t>
        </is>
      </c>
      <c r="W49" s="8" t="inlineStr">
        <is>
          <t>https://www.govinfo.gov/content/pkg/USCOURTS-ctd-3_25-cv-01367/pdf/USCOURTS-ctd-3_25-cv-01367-0.pdf</t>
        </is>
      </c>
      <c r="X49" s="3" t="inlineStr">
        <is>
          <t>Direct enforcement</t>
        </is>
      </c>
      <c r="Y49" s="9" t="inlineStr">
        <is>
          <t>Yes</t>
        </is>
      </c>
      <c r="Z49" s="3" t="inlineStr">
        <is>
          <t>Companion to NSA-042 (same judge, same day, different docket). Decided before the Second Circuit's East Coast ruling, which now controls in CT; likely affected on appeal. Added 2026-10-16 from an internal review of 2026-10-12.</t>
        </is>
      </c>
      <c r="AA49" s="4" t="n">
        <v>46311</v>
      </c>
    </row>
    <row r="50" ht="48" customHeight="1" s="21">
      <c r="A50" s="2" t="inlineStr">
        <is>
          <t>NSA-053</t>
        </is>
      </c>
      <c r="B50" s="3" t="inlineStr">
        <is>
          <t>Worldwide Aircraft Services, Inc. v. Aetna Life Insurance Company</t>
        </is>
      </c>
      <c r="C50" s="3" t="inlineStr">
        <is>
          <t>Jet ICU</t>
        </is>
      </c>
      <c r="D50" s="3" t="inlineStr">
        <is>
          <t>Aetna Life Insurance Company</t>
        </is>
      </c>
      <c r="E50" s="3" t="inlineStr">
        <is>
          <t>U.S. District Court, Middle District of Florida</t>
        </is>
      </c>
      <c r="F50" s="3" t="inlineStr">
        <is>
          <t>Federal District</t>
        </is>
      </c>
      <c r="G50" s="3" t="inlineStr">
        <is>
          <t>11th</t>
        </is>
      </c>
      <c r="H50" s="3" t="inlineStr">
        <is>
          <t>8:25-cv-01230</t>
        </is>
      </c>
      <c r="I50" s="4" t="n">
        <v>45882</v>
      </c>
      <c r="J50" s="3" t="inlineStr">
        <is>
          <t>FL</t>
        </is>
      </c>
      <c r="K50" s="3" t="inlineStr">
        <is>
          <t>FL</t>
        </is>
      </c>
      <c r="L50" s="9" t="inlineStr">
        <is>
          <t>Negative</t>
        </is>
      </c>
      <c r="M50" s="10">
        <f>IF(L50="Positive",1,IF(L50="Negative",-1,0))</f>
        <v/>
      </c>
      <c r="N50" s="3" t="inlineStr">
        <is>
          <t>Motion to dismiss granted</t>
        </is>
      </c>
      <c r="O50" s="3" t="inlineStr">
        <is>
          <t>Not central</t>
        </is>
      </c>
      <c r="P50" s="3" t="inlineStr">
        <is>
          <t>No independent jurisdiction</t>
        </is>
      </c>
      <c r="Q50" s="3" t="inlineStr">
        <is>
          <t>No</t>
        </is>
      </c>
      <c r="R50" s="7" t="n"/>
      <c r="S50" s="3" t="inlineStr">
        <is>
          <t>Granted Aetna's motion to dismiss and dismissed provider's action without prejudice for lack of subject-matter jurisdiction.</t>
        </is>
      </c>
      <c r="T50" s="3" t="inlineStr">
        <is>
          <t>District court</t>
        </is>
      </c>
      <c r="U50" s="3" t="inlineStr">
        <is>
          <t>Final district ruling</t>
        </is>
      </c>
      <c r="V50" s="3" t="inlineStr">
        <is>
          <t>Appeal filed in Eleventh Circuit on 2025-09-10; pending (see Pending Cases)</t>
        </is>
      </c>
      <c r="W50" s="8" t="inlineStr">
        <is>
          <t>https://www.courtlistener.com/docket/70253986/worldwide-aircraft-services-inc-v-aetna-life-insurance-company/</t>
        </is>
      </c>
      <c r="X50" s="3" t="inlineStr">
        <is>
          <t>Direct enforcement</t>
        </is>
      </c>
      <c r="Y50" s="9" t="inlineStr">
        <is>
          <t>Yes</t>
        </is>
      </c>
      <c r="Z50" s="3" t="inlineStr">
        <is>
          <t>Text-only order with no stated reasoning; dismissal without prejudice and Eleventh Circuit appeal pending. Same provider had a positive 2024 GeoBlue confirmation decision. Added 2026-10-16 from an internal review of 2026-10-12.</t>
        </is>
      </c>
      <c r="AA50" s="4" t="n">
        <v>46311</v>
      </c>
    </row>
    <row r="51" ht="36" customHeight="1" s="21">
      <c r="A51" s="2" t="inlineStr">
        <is>
          <t>NSA-054</t>
        </is>
      </c>
      <c r="B51" s="3" t="inlineStr">
        <is>
          <t>Worldwide Aircraft Services, Inc. v. United Healthcare</t>
        </is>
      </c>
      <c r="C51" s="3" t="inlineStr">
        <is>
          <t>Jet ICU</t>
        </is>
      </c>
      <c r="D51" s="3" t="inlineStr">
        <is>
          <t>United HealthCare Services, Inc. (United Healthcare)</t>
        </is>
      </c>
      <c r="E51" s="3" t="inlineStr">
        <is>
          <t>U.S. District Court, Middle District of Florida</t>
        </is>
      </c>
      <c r="F51" s="3" t="inlineStr">
        <is>
          <t>Federal District</t>
        </is>
      </c>
      <c r="G51" s="3" t="inlineStr">
        <is>
          <t>11th</t>
        </is>
      </c>
      <c r="H51" s="3" t="inlineStr">
        <is>
          <t>8:24-cv-02527</t>
        </is>
      </c>
      <c r="I51" s="4" t="n">
        <v>45989</v>
      </c>
      <c r="J51" s="3" t="inlineStr">
        <is>
          <t>FL</t>
        </is>
      </c>
      <c r="K51" s="3" t="inlineStr">
        <is>
          <t>FL</t>
        </is>
      </c>
      <c r="L51" s="9" t="inlineStr">
        <is>
          <t>Negative</t>
        </is>
      </c>
      <c r="M51" s="10">
        <f>IF(L51="Positive",1,IF(L51="Negative",-1,0))</f>
        <v/>
      </c>
      <c r="N51" s="3" t="inlineStr">
        <is>
          <t>Petition to confirm denied</t>
        </is>
      </c>
      <c r="O51" s="3" t="inlineStr">
        <is>
          <t>No</t>
        </is>
      </c>
      <c r="P51" s="3" t="inlineStr">
        <is>
          <t>No; no arbitration agreement to support §9</t>
        </is>
      </c>
      <c r="Q51" s="3" t="inlineStr">
        <is>
          <t>No</t>
        </is>
      </c>
      <c r="R51" s="7" t="n"/>
      <c r="S51" s="3" t="inlineStr">
        <is>
          <t>Denied petition to confirm NSA IDR award; held the NSA creates no private right of action and FAA §9 is unavailable absent an agreement to arbitrate, with alternative dismissal for lack of jurisdiction.</t>
        </is>
      </c>
      <c r="T51" s="3" t="inlineStr">
        <is>
          <t>District court</t>
        </is>
      </c>
      <c r="U51" s="3" t="inlineStr">
        <is>
          <t>Final district ruling</t>
        </is>
      </c>
      <c r="V51" s="3" t="inlineStr">
        <is>
          <t>Eleventh Circuit appeal dismissed June 2026 for failure to prosecute</t>
        </is>
      </c>
      <c r="W51" s="8" t="inlineStr">
        <is>
          <t>https://storage.courtlistener.com/recap/gov.uscourts.flmd.433869/gov.uscourts.flmd.433869.49.0.pdf</t>
        </is>
      </c>
      <c r="X51" s="3" t="inlineStr">
        <is>
          <t>Direct enforcement</t>
        </is>
      </c>
      <c r="Y51" s="9" t="inlineStr">
        <is>
          <t>Yes</t>
        </is>
      </c>
      <c r="Z51" s="3" t="inlineStr">
        <is>
          <t>Same provider had a positive 2024 GeoBlue confirmation decision in M.D. Fla.; this ruling adopts Guardian Flight (5th Cir.) and cites the Eleventh Circuit's Reach Air affirmance. Added 2026-10-16 from an internal review of 2026-10-12.</t>
        </is>
      </c>
      <c r="AA51" s="4" t="n">
        <v>46311</v>
      </c>
    </row>
    <row r="52" ht="84" customHeight="1" s="21">
      <c r="A52" s="2" t="inlineStr">
        <is>
          <t>NSA-055</t>
        </is>
      </c>
      <c r="B52" s="3" t="inlineStr">
        <is>
          <t>SpecialtyCare, Inc. et al. v. Aetna, Inc.</t>
        </is>
      </c>
      <c r="C52" s="3" t="inlineStr">
        <is>
          <t>SpecialtyCare, Inc. / Remote Neuromonitoring Physicians / Sentient Physicians</t>
        </is>
      </c>
      <c r="D52" s="3" t="inlineStr">
        <is>
          <t>Aetna, Inc.</t>
        </is>
      </c>
      <c r="E52" s="3" t="inlineStr">
        <is>
          <t>U.S. District Court, Middle District of Pennsylvania</t>
        </is>
      </c>
      <c r="F52" s="3" t="inlineStr">
        <is>
          <t>Federal District</t>
        </is>
      </c>
      <c r="G52" s="3" t="inlineStr">
        <is>
          <t>3d</t>
        </is>
      </c>
      <c r="H52" s="3" t="inlineStr">
        <is>
          <t>1:25-cv-00224</t>
        </is>
      </c>
      <c r="I52" s="4" t="n">
        <v>46014</v>
      </c>
      <c r="J52" s="3" t="inlineStr">
        <is>
          <t>PA</t>
        </is>
      </c>
      <c r="K52" s="3" t="inlineStr">
        <is>
          <t>PA</t>
        </is>
      </c>
      <c r="L52" s="9" t="inlineStr">
        <is>
          <t>Negative</t>
        </is>
      </c>
      <c r="M52" s="10">
        <f>IF(L52="Positive",1,IF(L52="Negative",-1,0))</f>
        <v/>
      </c>
      <c r="N52" s="3" t="inlineStr">
        <is>
          <t>Judgment on pleadings granted in part / state claims remanded</t>
        </is>
      </c>
      <c r="O52" s="3" t="inlineStr">
        <is>
          <t>No</t>
        </is>
      </c>
      <c r="P52" s="3" t="inlineStr">
        <is>
          <t>No</t>
        </is>
      </c>
      <c r="Q52" s="3" t="inlineStr">
        <is>
          <t>No</t>
        </is>
      </c>
      <c r="R52" s="7" t="n"/>
      <c r="S52" s="3" t="inlineStr">
        <is>
          <t>Granted Aetna's motion for judgment on the pleadings on the federal FAA §9 confirmation claim, holding the NSA creates no private right of action to enforce IDR awards; declined supplemental jurisdiction and remanded the state-law claims to the Dauphin County Court of Common Pleas.</t>
        </is>
      </c>
      <c r="T52" s="3" t="inlineStr">
        <is>
          <t>District court</t>
        </is>
      </c>
      <c r="U52" s="3" t="inlineStr">
        <is>
          <t>Final as to federal enforcement theory</t>
        </is>
      </c>
      <c r="V52" s="3" t="inlineStr">
        <is>
          <t>Appeal filed in Third Circuit on Jan. 20, 2026</t>
        </is>
      </c>
      <c r="W52" s="8" t="inlineStr">
        <is>
          <t>https://storage.courtlistener.com/recap/gov.uscourts.pamd.145493/gov.uscourts.pamd.145493.44.0.pdf</t>
        </is>
      </c>
      <c r="X52" s="3" t="inlineStr">
        <is>
          <t>Direct enforcement</t>
        </is>
      </c>
      <c r="Y52" s="9" t="inlineStr">
        <is>
          <t>Yes</t>
        </is>
      </c>
      <c r="Z52" s="3" t="inlineStr">
        <is>
          <t>Count II is the claim to confirm the IDR awards under FAA §9. It is the only federal enforcement claim and the one the court ruled on, but the complaint has no separate NSA count; the court decided the NSA private-right question while ruling on Count II. Count I (confirmation under Pennsylvania's RUAA) and the state common-law claims were remanded to state court, not decided. Same provider group as the separate HCSC/BCBS Illinois case. Added 2026-10-16 from an internal review of 2026-10-12.</t>
        </is>
      </c>
      <c r="AA52" s="4" t="n">
        <v>46311</v>
      </c>
    </row>
    <row r="53" ht="60" customHeight="1" s="21">
      <c r="A53" s="2" t="inlineStr">
        <is>
          <t>NSA-056</t>
        </is>
      </c>
      <c r="B53" s="3" t="inlineStr">
        <is>
          <t>Worldwide Aircraft Services, Inc. v. United Healthcare</t>
        </is>
      </c>
      <c r="C53" s="3" t="inlineStr">
        <is>
          <t>Jet ICU</t>
        </is>
      </c>
      <c r="D53" s="3" t="inlineStr">
        <is>
          <t>United Healthcare</t>
        </is>
      </c>
      <c r="E53" s="3" t="inlineStr">
        <is>
          <t>U.S. District Court, Middle District of Florida</t>
        </is>
      </c>
      <c r="F53" s="3" t="inlineStr">
        <is>
          <t>Federal District</t>
        </is>
      </c>
      <c r="G53" s="3" t="inlineStr">
        <is>
          <t>11th</t>
        </is>
      </c>
      <c r="H53" s="3" t="inlineStr">
        <is>
          <t>8:25-cv-01225</t>
        </is>
      </c>
      <c r="I53" s="4" t="n">
        <v>46066</v>
      </c>
      <c r="J53" s="3" t="inlineStr">
        <is>
          <t>FL</t>
        </is>
      </c>
      <c r="K53" s="3" t="inlineStr">
        <is>
          <t>FL</t>
        </is>
      </c>
      <c r="L53" s="9" t="inlineStr">
        <is>
          <t>Negative</t>
        </is>
      </c>
      <c r="M53" s="10">
        <f>IF(L53="Positive",1,IF(L53="Negative",-1,0))</f>
        <v/>
      </c>
      <c r="N53" s="3" t="inlineStr">
        <is>
          <t>Motion to dismiss granted / petition dismissed with prejudice</t>
        </is>
      </c>
      <c r="O53" s="3" t="inlineStr">
        <is>
          <t>No / no federal cause</t>
        </is>
      </c>
      <c r="P53" s="3" t="inlineStr">
        <is>
          <t>No</t>
        </is>
      </c>
      <c r="Q53" s="3" t="inlineStr">
        <is>
          <t>No</t>
        </is>
      </c>
      <c r="R53" s="7" t="n"/>
      <c r="S53" s="3" t="inlineStr">
        <is>
          <t>Granted UHC's unopposed motion and dismissed the provider's petition to confirm an NSA IDR award with prejudice. Following earlier M.D. Fla. rulings, held that the NSA's IDR provisions create no federal cause of action and that IDR awards cannot be enforced under the FAA. Ordered the provider to show cause why it should not be sanctioned under Rule 11.</t>
        </is>
      </c>
      <c r="T53" s="3" t="inlineStr">
        <is>
          <t>District court</t>
        </is>
      </c>
      <c r="U53" s="3" t="inlineStr">
        <is>
          <t>Final district ruling</t>
        </is>
      </c>
      <c r="V53" s="3" t="inlineStr">
        <is>
          <t>Rule 11 show-cause ordered 2/13/2026; no subsequent appellate decision identified in public search</t>
        </is>
      </c>
      <c r="W53" s="8" t="inlineStr">
        <is>
          <t>https://storage.courtlistener.com/recap/gov.uscourts.flmd.441824/gov.uscourts.flmd.441824.17.0.pdf</t>
        </is>
      </c>
      <c r="X53" s="3" t="inlineStr">
        <is>
          <t>Direct enforcement</t>
        </is>
      </c>
      <c r="Y53" s="9" t="inlineStr">
        <is>
          <t>Yes</t>
        </is>
      </c>
      <c r="Z53" s="3" t="inlineStr">
        <is>
          <t>Negative result, and the order also threatens Rule 11 sanctions. The petition was unopposed: the provider filed no response. This is the third M.D. Fla. dismissal of a Jet ICU confirmation action. Same provider had a positive 2024 GeoBlue confirmation decision. Added 2026-10-16 from an internal review of 2026-10-12.</t>
        </is>
      </c>
      <c r="AA53" s="4" t="n">
        <v>46311</v>
      </c>
    </row>
    <row r="54" ht="36" customHeight="1" s="21">
      <c r="A54" s="2" t="inlineStr">
        <is>
          <t>NSA-057</t>
        </is>
      </c>
      <c r="B54" s="3" t="inlineStr">
        <is>
          <t>SpecialtyCare, Inc. et al. v. Health Care Service Corp. d/b/a BCBS New Mexico</t>
        </is>
      </c>
      <c r="C54" s="3" t="inlineStr">
        <is>
          <t>SpecialtyCare, Inc. / Remote Neuromonitoring Physicians / Sentient Physicians</t>
        </is>
      </c>
      <c r="D54" s="3" t="inlineStr">
        <is>
          <t>Health Care Service Corp. d/b/a BCBS New Mexico</t>
        </is>
      </c>
      <c r="E54" s="3" t="inlineStr">
        <is>
          <t>U.S. District Court, Northern District of Illinois</t>
        </is>
      </c>
      <c r="F54" s="3" t="inlineStr">
        <is>
          <t>Federal District</t>
        </is>
      </c>
      <c r="G54" s="3" t="inlineStr">
        <is>
          <t>7th</t>
        </is>
      </c>
      <c r="H54" s="3" t="inlineStr">
        <is>
          <t>1:24-cv-12902</t>
        </is>
      </c>
      <c r="I54" s="4" t="n">
        <v>46175</v>
      </c>
      <c r="J54" s="3" t="inlineStr">
        <is>
          <t>IL</t>
        </is>
      </c>
      <c r="K54" s="3" t="inlineStr">
        <is>
          <t>IL</t>
        </is>
      </c>
      <c r="L54" s="9" t="inlineStr">
        <is>
          <t>Negative</t>
        </is>
      </c>
      <c r="M54" s="10">
        <f>IF(L54="Positive",1,IF(L54="Negative",-1,0))</f>
        <v/>
      </c>
      <c r="N54" s="3" t="inlineStr">
        <is>
          <t>Federal claims dismissed</t>
        </is>
      </c>
      <c r="O54" s="3" t="inlineStr">
        <is>
          <t>No</t>
        </is>
      </c>
      <c r="P54" s="3" t="inlineStr">
        <is>
          <t>No</t>
        </is>
      </c>
      <c r="Q54" s="3" t="inlineStr">
        <is>
          <t>No</t>
        </is>
      </c>
      <c r="R54" s="7" t="n"/>
      <c r="S54" s="3" t="inlineStr">
        <is>
          <t>Dismissed ERISA, FAA §9, and NSA enforcement theories with prejudice; held FAA §9 requires an arbitration agreement, confirmation is barred judicial review, and the NSA creates no implied private cause of action; state claims dismissed without prejudice.</t>
        </is>
      </c>
      <c r="T54" s="3" t="inlineStr">
        <is>
          <t>District court</t>
        </is>
      </c>
      <c r="U54" s="3" t="inlineStr">
        <is>
          <t>Final district ruling</t>
        </is>
      </c>
      <c r="V54" s="3" t="inlineStr">
        <is>
          <t>Appeal docketed in Seventh Circuit, No. 26-2269 (related appellate litigation tracked)</t>
        </is>
      </c>
      <c r="W54" s="8" t="inlineStr">
        <is>
          <t>https://storage.courtlistener.com/recap/gov.uscourts.ilnd.469803/gov.uscourts.ilnd.469803.77.0.pdf</t>
        </is>
      </c>
      <c r="X54" s="3" t="inlineStr">
        <is>
          <t>Direct enforcement</t>
        </is>
      </c>
      <c r="Y54" s="9" t="inlineStr">
        <is>
          <t>Yes</t>
        </is>
      </c>
      <c r="Z54" s="3" t="inlineStr">
        <is>
          <t>Separate HCSC/BCBS New Mexico case from the related BCBS Illinois case (NSA-037) and companion NSA-038; separate opinion on same date and same reasoning. Added 2026-10-16 from an internal review of 2026-10-12.</t>
        </is>
      </c>
      <c r="AA54" s="4" t="n">
        <v>46311</v>
      </c>
    </row>
    <row r="55" ht="48" customHeight="1" s="21">
      <c r="A55" s="2" t="inlineStr">
        <is>
          <t>NSA-058</t>
        </is>
      </c>
      <c r="B55" s="3" t="inlineStr">
        <is>
          <t>Northeast Plastic Surgery Center, LLC v. Cigna Health and Life Insurance Company</t>
        </is>
      </c>
      <c r="C55" s="3" t="inlineStr">
        <is>
          <t>Northeast Plastic Surgery Center, LLC</t>
        </is>
      </c>
      <c r="D55" s="3" t="inlineStr">
        <is>
          <t>Cigna Health and Life Insurance Co.</t>
        </is>
      </c>
      <c r="E55" s="3" t="inlineStr">
        <is>
          <t>U.S. District Court, District of Connecticut</t>
        </is>
      </c>
      <c r="F55" s="3" t="inlineStr">
        <is>
          <t>Federal District</t>
        </is>
      </c>
      <c r="G55" s="3" t="inlineStr">
        <is>
          <t>2d</t>
        </is>
      </c>
      <c r="H55" s="3" t="inlineStr">
        <is>
          <t>3:25-cv-01476</t>
        </is>
      </c>
      <c r="I55" s="4" t="n">
        <v>46224</v>
      </c>
      <c r="J55" s="3" t="inlineStr">
        <is>
          <t>CT</t>
        </is>
      </c>
      <c r="K55" s="3" t="inlineStr">
        <is>
          <t>CT</t>
        </is>
      </c>
      <c r="L55" s="9" t="inlineStr">
        <is>
          <t>Positive</t>
        </is>
      </c>
      <c r="M55" s="10">
        <f>IF(L55="Positive",1,IF(L55="Negative",-1,0))</f>
        <v/>
      </c>
      <c r="N55" s="3" t="inlineStr">
        <is>
          <t>Confirmation / summary judgment granted</t>
        </is>
      </c>
      <c r="O55" s="3" t="inlineStr">
        <is>
          <t>Yes</t>
        </is>
      </c>
      <c r="P55" s="3" t="inlineStr">
        <is>
          <t>Not decided; NSA independently authorizes enforcement</t>
        </is>
      </c>
      <c r="Q55" s="3" t="inlineStr">
        <is>
          <t>Yes</t>
        </is>
      </c>
      <c r="R55" s="7" t="n">
        <v>20800</v>
      </c>
      <c r="S55" s="3" t="inlineStr">
        <is>
          <t>Denied Cigna's dismissal motion and granted provider confirmation/summary judgment, ordering confirmation of the one remaining IDR award; other three awards withdrawn.</t>
        </is>
      </c>
      <c r="T55" s="3" t="inlineStr">
        <is>
          <t>District court</t>
        </is>
      </c>
      <c r="U55" s="3" t="inlineStr">
        <is>
          <t>Final confirmation judgment</t>
        </is>
      </c>
      <c r="V55" s="3" t="inlineStr">
        <is>
          <t>No appeal identified; later East Coast (2d Cir. Sept. 17, 2026) decision is controlling contrary appellate authority</t>
        </is>
      </c>
      <c r="W55" s="8" t="inlineStr">
        <is>
          <t>https://storage.courtlistener.com/recap/gov.uscourts.ctd.166725/gov.uscourts.ctd.166725.25.0.pdf</t>
        </is>
      </c>
      <c r="X55" s="3" t="inlineStr">
        <is>
          <t>Direct enforcement</t>
        </is>
      </c>
      <c r="Y55" s="9" t="inlineStr">
        <is>
          <t>Yes</t>
        </is>
      </c>
      <c r="Z55" s="3" t="inlineStr">
        <is>
          <t>Companion to NSA-042 (same judge, same day, expressly relies on Jandali analysis); positive district outcome, but later Second Circuit authority points the other way and should be displayed. Added 2026-10-16 from an internal review of 2026-10-12.</t>
        </is>
      </c>
      <c r="AA55" s="4" t="n">
        <v>46311</v>
      </c>
    </row>
    <row r="56" ht="60" customHeight="1" s="21">
      <c r="A56" s="2" t="inlineStr">
        <is>
          <t>NSA-059</t>
        </is>
      </c>
      <c r="B56" s="3" t="inlineStr">
        <is>
          <t>New England PA, LLC v. Cigna Health and Life Insurance Company</t>
        </is>
      </c>
      <c r="C56" s="3" t="inlineStr">
        <is>
          <t>New England PA, LLC</t>
        </is>
      </c>
      <c r="D56" s="3" t="inlineStr">
        <is>
          <t>Cigna Health and Life Insurance Co.</t>
        </is>
      </c>
      <c r="E56" s="3" t="inlineStr">
        <is>
          <t>U.S. District Court, District of Connecticut</t>
        </is>
      </c>
      <c r="F56" s="3" t="inlineStr">
        <is>
          <t>Federal District</t>
        </is>
      </c>
      <c r="G56" s="3" t="inlineStr">
        <is>
          <t>2d</t>
        </is>
      </c>
      <c r="H56" s="3" t="inlineStr">
        <is>
          <t>3:25-cv-01472</t>
        </is>
      </c>
      <c r="I56" s="4" t="n">
        <v>46224</v>
      </c>
      <c r="J56" s="3" t="inlineStr">
        <is>
          <t>CT</t>
        </is>
      </c>
      <c r="K56" s="3" t="inlineStr">
        <is>
          <t>CT</t>
        </is>
      </c>
      <c r="L56" s="9" t="inlineStr">
        <is>
          <t>Positive</t>
        </is>
      </c>
      <c r="M56" s="10">
        <f>IF(L56="Positive",1,IF(L56="Negative",-1,0))</f>
        <v/>
      </c>
      <c r="N56" s="3" t="inlineStr">
        <is>
          <t>Confirmation / summary judgment granted</t>
        </is>
      </c>
      <c r="O56" s="3" t="inlineStr">
        <is>
          <t>Yes</t>
        </is>
      </c>
      <c r="P56" s="3" t="inlineStr">
        <is>
          <t>Not reached; confirmed under NSA</t>
        </is>
      </c>
      <c r="Q56" s="3" t="inlineStr">
        <is>
          <t>Yes</t>
        </is>
      </c>
      <c r="R56" s="7" t="n">
        <v>10000</v>
      </c>
      <c r="S56" s="3" t="inlineStr">
        <is>
          <t>Denied Cigna's dismissal motion and granted provider confirmation/summary judgment on the one remaining IDR award (DISP-2239980); held the NSA itself supports enforcement and that Cigna waived its timely-filing coverage defense by not taking part in IDR.</t>
        </is>
      </c>
      <c r="T56" s="3" t="inlineStr">
        <is>
          <t>District court</t>
        </is>
      </c>
      <c r="U56" s="3" t="inlineStr">
        <is>
          <t>Final confirmation judgment</t>
        </is>
      </c>
      <c r="V56" s="3" t="inlineStr">
        <is>
          <t>No appeal identified; later East Coast (2d Cir. Sept. 17, 2026) decision is controlling contrary appellate authority</t>
        </is>
      </c>
      <c r="W56" s="8" t="inlineStr">
        <is>
          <t>https://storage.courtlistener.com/recap/gov.uscourts.ctd.166721/gov.uscourts.ctd.166721.25.0.pdf</t>
        </is>
      </c>
      <c r="X56" s="3" t="inlineStr">
        <is>
          <t>Direct enforcement</t>
        </is>
      </c>
      <c r="Y56" s="9" t="inlineStr">
        <is>
          <t>Yes</t>
        </is>
      </c>
      <c r="Z56" s="3" t="inlineStr">
        <is>
          <t>Positive district outcome from the same judge and day as NSA-042, but it came before the Second Circuit's East Coast ruling, which points the other way; show appellate status. Only 1 of 6 pleaded awards was confirmed (the other 5 were withdrawn). FAA §9 was not decided. Added 2026-10-16 from an internal review of 2026-10-12.</t>
        </is>
      </c>
      <c r="AA56" s="4" t="n">
        <v>46311</v>
      </c>
    </row>
    <row r="57" ht="84" customHeight="1" s="21">
      <c r="A57" s="2" t="inlineStr">
        <is>
          <t>NSA-060</t>
        </is>
      </c>
      <c r="B57" s="3" t="inlineStr">
        <is>
          <t>Jeffrey Farkas, M.D., LLC v. Aetna Life Insurance Company</t>
        </is>
      </c>
      <c r="C57" s="3" t="inlineStr">
        <is>
          <t>Jeffrey Farkas, M.D., LLC d/b/a Interventional Neuro Associates, LLC</t>
        </is>
      </c>
      <c r="D57" s="3" t="inlineStr">
        <is>
          <t>Aetna Life Insurance Company</t>
        </is>
      </c>
      <c r="E57" s="3" t="inlineStr">
        <is>
          <t>U.S. District Court, Eastern District of New York</t>
        </is>
      </c>
      <c r="F57" s="3" t="inlineStr">
        <is>
          <t>Federal District</t>
        </is>
      </c>
      <c r="G57" s="3" t="inlineStr">
        <is>
          <t>2d</t>
        </is>
      </c>
      <c r="H57" s="3" t="inlineStr">
        <is>
          <t>1:26-cv-04774</t>
        </is>
      </c>
      <c r="I57" s="4" t="n">
        <v>46267</v>
      </c>
      <c r="J57" s="3" t="inlineStr">
        <is>
          <t>NY</t>
        </is>
      </c>
      <c r="K57" s="3" t="inlineStr">
        <is>
          <t>NY</t>
        </is>
      </c>
      <c r="L57" s="9" t="inlineStr">
        <is>
          <t>Negative</t>
        </is>
      </c>
      <c r="M57" s="10">
        <f>IF(L57="Positive",1,IF(L57="Negative",-1,0))</f>
        <v/>
      </c>
      <c r="N57" s="3" t="inlineStr">
        <is>
          <t>Motion to dismiss granted</t>
        </is>
      </c>
      <c r="O57" s="3" t="inlineStr">
        <is>
          <t>Not central (not asserted; court noted district split and pending Second Circuit appeal)</t>
        </is>
      </c>
      <c r="P57" s="3" t="inlineStr">
        <is>
          <t>Not sought</t>
        </is>
      </c>
      <c r="Q57" s="3" t="inlineStr">
        <is>
          <t>No</t>
        </is>
      </c>
      <c r="R57" s="7" t="n"/>
      <c r="S57" s="3" t="inlineStr">
        <is>
          <t>Dismissed the provider's state-law and common-law claims (unjust enrichment, breach of contract) seeking payment of an unpaid NSA IDR award. The court held that by choosing IDR the provider elected its remedy, so the election-of-remedies doctrine bars a later lawsuit on the same facts; enforcement of IDR awards is administrative (HHS penalties).</t>
        </is>
      </c>
      <c r="T57" s="3" t="inlineStr">
        <is>
          <t>District court</t>
        </is>
      </c>
      <c r="U57" s="3" t="inlineStr">
        <is>
          <t>Final district ruling</t>
        </is>
      </c>
      <c r="V57" s="3" t="inlineStr">
        <is>
          <t>No subsequent appellate decision identified in public search</t>
        </is>
      </c>
      <c r="W57" s="8" t="inlineStr">
        <is>
          <t>https://storage.courtlistener.com/recap/gov.uscourts.nyed.549569/gov.uscourts.nyed.549569.14.0.pdf</t>
        </is>
      </c>
      <c r="X57" s="3" t="inlineStr">
        <is>
          <t>Direct enforcement</t>
        </is>
      </c>
      <c r="Y57" s="9" t="inlineStr">
        <is>
          <t>Yes</t>
        </is>
      </c>
      <c r="Z57" s="3" t="inlineStr">
        <is>
          <t>Negative ruling on a different theory: the provider sued only under state law to collect the unpaid IDR award, to get around the NSA private-right question, and the court barred the claims on election of remedies, not preemption. Same provider also lost in E.D.N.Y. in NSA-006 and NSA-032. The Second Circuit's East Coast appeal was still pending at the time; it was decided 9/17/2026 (NSA-045). Added 2026-10-16 from an internal review of 2026-10-12.</t>
        </is>
      </c>
      <c r="AA57" s="4" t="n">
        <v>46311</v>
      </c>
    </row>
  </sheetData>
  <autoFilter ref="A1:AA48"/>
  <dataValidations count="2">
    <dataValidation sqref="L2:L500" showDropDown="0" showInputMessage="0" showErrorMessage="0" allowBlank="1" type="list">
      <formula1>"Positive,Negative,Mixed / Procedural"</formula1>
    </dataValidation>
    <dataValidation sqref="Y2:Y500" showDropDown="0" showInputMessage="0" showErrorMessage="0" allowBlank="1" type="list">
      <formula1>"Yes,No"</formula1>
    </dataValidation>
  </dataValidations>
  <hyperlinks>
    <hyperlink xmlns:r="http://schemas.openxmlformats.org/officeDocument/2006/relationships" ref="W48"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showGridLines="0" workbookViewId="0">
      <pane ySplit="9" topLeftCell="A10" activePane="bottomLeft" state="frozen"/>
      <selection pane="bottomLeft" activeCell="A1" sqref="A1"/>
    </sheetView>
  </sheetViews>
  <sheetFormatPr baseColWidth="8" defaultRowHeight="14.4"/>
  <cols>
    <col width="31" customWidth="1" style="21" min="1" max="1"/>
    <col width="16" customWidth="1" style="21" min="2" max="3"/>
    <col width="17" customWidth="1" style="21" min="4" max="4"/>
    <col width="18" customWidth="1" style="21" min="5" max="6"/>
  </cols>
  <sheetData>
    <row r="1">
      <c r="A1" s="20" t="inlineStr">
        <is>
          <t>NSA Enforcement Litigation Dashboard - Decision Summary</t>
        </is>
      </c>
    </row>
    <row r="2">
      <c r="A2" s="11" t="inlineStr">
        <is>
          <t>As of</t>
        </is>
      </c>
      <c r="B2" s="12" t="n">
        <v>46295</v>
      </c>
      <c r="C2" s="11" t="n"/>
      <c r="D2" s="11" t="n"/>
      <c r="E2" s="11" t="n"/>
      <c r="F2" s="11" t="n"/>
    </row>
    <row r="3">
      <c r="A3" s="11" t="n"/>
      <c r="B3" s="11" t="n"/>
      <c r="C3" s="11" t="n"/>
      <c r="D3" s="11" t="n"/>
      <c r="E3" s="11" t="n"/>
      <c r="F3" s="11" t="n"/>
    </row>
    <row r="4" ht="30" customHeight="1" s="21">
      <c r="A4" s="13" t="inlineStr">
        <is>
          <t>Recommended heat-map universe</t>
        </is>
      </c>
      <c r="B4" s="11">
        <f>COUNTIF('NSA Enforcement Decisions'!Y:Y,"Yes")</f>
        <v/>
      </c>
      <c r="C4" s="11" t="n"/>
      <c r="D4" s="11" t="n"/>
      <c r="E4" s="11" t="n"/>
      <c r="F4" s="11" t="n"/>
    </row>
    <row r="5">
      <c r="A5" s="13" t="inlineStr">
        <is>
          <t>Positive decisions</t>
        </is>
      </c>
      <c r="B5" s="11">
        <f>COUNTIFS('NSA Enforcement Decisions'!L:L,"Positive",'NSA Enforcement Decisions'!Y:Y,"Yes")</f>
        <v/>
      </c>
      <c r="C5" s="11" t="n"/>
      <c r="D5" s="11" t="n"/>
      <c r="E5" s="11" t="n"/>
      <c r="F5" s="11" t="n"/>
    </row>
    <row r="6">
      <c r="A6" s="13" t="inlineStr">
        <is>
          <t>Negative decisions</t>
        </is>
      </c>
      <c r="B6" s="11">
        <f>COUNTIFS('NSA Enforcement Decisions'!L:L,"Negative",'NSA Enforcement Decisions'!Y:Y,"Yes")</f>
        <v/>
      </c>
      <c r="C6" s="11" t="n"/>
      <c r="D6" s="11" t="n"/>
      <c r="E6" s="11" t="n"/>
      <c r="F6" s="11" t="n"/>
    </row>
    <row r="7">
      <c r="A7" s="13" t="inlineStr">
        <is>
          <t>Nonfinal/context rows excluded</t>
        </is>
      </c>
      <c r="B7" s="11">
        <f>COUNTIF('NSA Enforcement Decisions'!Y:Y,"No")</f>
        <v/>
      </c>
      <c r="C7" s="11" t="n"/>
      <c r="D7" s="11" t="n"/>
      <c r="E7" s="11" t="n"/>
      <c r="F7" s="11" t="n"/>
    </row>
    <row r="8">
      <c r="A8" s="11" t="n"/>
      <c r="B8" s="11" t="n"/>
      <c r="C8" s="11" t="n"/>
      <c r="D8" s="11" t="n"/>
      <c r="E8" s="11" t="n"/>
      <c r="F8" s="11" t="n"/>
    </row>
    <row r="9">
      <c r="A9" s="14" t="inlineStr">
        <is>
          <t>State</t>
        </is>
      </c>
      <c r="B9" s="14" t="inlineStr">
        <is>
          <t>Positive</t>
        </is>
      </c>
      <c r="C9" s="14" t="inlineStr">
        <is>
          <t>Negative</t>
        </is>
      </c>
      <c r="D9" s="14" t="inlineStr">
        <is>
          <t>Net Heat Score</t>
        </is>
      </c>
      <c r="E9" s="14" t="inlineStr">
        <is>
          <t>Total Included</t>
        </is>
      </c>
      <c r="F9" s="14" t="inlineStr">
        <is>
          <t>Use</t>
        </is>
      </c>
    </row>
    <row r="10">
      <c r="A10" s="11" t="inlineStr">
        <is>
          <t>AZ</t>
        </is>
      </c>
      <c r="B10" s="11">
        <f>COUNTIFS('NSA Enforcement Decisions'!J:J,A10,'NSA Enforcement Decisions'!L:L,"Positive",'NSA Enforcement Decisions'!Y:Y,"Yes")</f>
        <v/>
      </c>
      <c r="C10" s="11">
        <f>COUNTIFS('NSA Enforcement Decisions'!J:J,A10,'NSA Enforcement Decisions'!L:L,"Negative",'NSA Enforcement Decisions'!Y:Y,"Yes")</f>
        <v/>
      </c>
      <c r="D10" s="11">
        <f>B10-C10</f>
        <v/>
      </c>
      <c r="E10" s="11">
        <f>B10+C10</f>
        <v/>
      </c>
      <c r="F10" s="11" t="inlineStr">
        <is>
          <t>Court State</t>
        </is>
      </c>
    </row>
    <row r="11">
      <c r="A11" s="11" t="inlineStr">
        <is>
          <t>CA</t>
        </is>
      </c>
      <c r="B11" s="11">
        <f>COUNTIFS('NSA Enforcement Decisions'!J:J,A11,'NSA Enforcement Decisions'!L:L,"Positive",'NSA Enforcement Decisions'!Y:Y,"Yes")</f>
        <v/>
      </c>
      <c r="C11" s="11">
        <f>COUNTIFS('NSA Enforcement Decisions'!J:J,A11,'NSA Enforcement Decisions'!L:L,"Negative",'NSA Enforcement Decisions'!Y:Y,"Yes")</f>
        <v/>
      </c>
      <c r="D11" s="11">
        <f>B11-C11</f>
        <v/>
      </c>
      <c r="E11" s="11">
        <f>B11+C11</f>
        <v/>
      </c>
      <c r="F11" s="11" t="inlineStr">
        <is>
          <t>Court State</t>
        </is>
      </c>
    </row>
    <row r="12">
      <c r="A12" s="11" t="inlineStr">
        <is>
          <t>CT</t>
        </is>
      </c>
      <c r="B12" s="11">
        <f>COUNTIFS('NSA Enforcement Decisions'!J:J,A12,'NSA Enforcement Decisions'!L:L,"Positive",'NSA Enforcement Decisions'!Y:Y,"Yes")</f>
        <v/>
      </c>
      <c r="C12" s="11">
        <f>COUNTIFS('NSA Enforcement Decisions'!J:J,A12,'NSA Enforcement Decisions'!L:L,"Negative",'NSA Enforcement Decisions'!Y:Y,"Yes")</f>
        <v/>
      </c>
      <c r="D12" s="11">
        <f>B12-C12</f>
        <v/>
      </c>
      <c r="E12" s="11">
        <f>B12+C12</f>
        <v/>
      </c>
      <c r="F12" s="11" t="inlineStr">
        <is>
          <t>Court State</t>
        </is>
      </c>
    </row>
    <row r="13">
      <c r="A13" s="11" t="inlineStr">
        <is>
          <t>DE</t>
        </is>
      </c>
      <c r="B13" s="11">
        <f>COUNTIFS('NSA Enforcement Decisions'!J:J,A13,'NSA Enforcement Decisions'!L:L,"Positive",'NSA Enforcement Decisions'!Y:Y,"Yes")</f>
        <v/>
      </c>
      <c r="C13" s="11">
        <f>COUNTIFS('NSA Enforcement Decisions'!J:J,A13,'NSA Enforcement Decisions'!L:L,"Negative",'NSA Enforcement Decisions'!Y:Y,"Yes")</f>
        <v/>
      </c>
      <c r="D13" s="11">
        <f>B13-C13</f>
        <v/>
      </c>
      <c r="E13" s="11">
        <f>B13+C13</f>
        <v/>
      </c>
      <c r="F13" s="11" t="inlineStr">
        <is>
          <t>Court State</t>
        </is>
      </c>
    </row>
    <row r="14">
      <c r="A14" s="11" t="inlineStr">
        <is>
          <t>FL</t>
        </is>
      </c>
      <c r="B14" s="11">
        <f>COUNTIFS('NSA Enforcement Decisions'!J:J,A14,'NSA Enforcement Decisions'!L:L,"Positive",'NSA Enforcement Decisions'!Y:Y,"Yes")</f>
        <v/>
      </c>
      <c r="C14" s="11">
        <f>COUNTIFS('NSA Enforcement Decisions'!J:J,A14,'NSA Enforcement Decisions'!L:L,"Negative",'NSA Enforcement Decisions'!Y:Y,"Yes")</f>
        <v/>
      </c>
      <c r="D14" s="11">
        <f>B14-C14</f>
        <v/>
      </c>
      <c r="E14" s="11">
        <f>B14+C14</f>
        <v/>
      </c>
      <c r="F14" s="11" t="inlineStr">
        <is>
          <t>Court State</t>
        </is>
      </c>
    </row>
    <row r="15">
      <c r="A15" s="11" t="inlineStr">
        <is>
          <t>GA</t>
        </is>
      </c>
      <c r="B15" s="11">
        <f>COUNTIFS('NSA Enforcement Decisions'!J:J,A15,'NSA Enforcement Decisions'!L:L,"Positive",'NSA Enforcement Decisions'!Y:Y,"Yes")</f>
        <v/>
      </c>
      <c r="C15" s="11">
        <f>COUNTIFS('NSA Enforcement Decisions'!J:J,A15,'NSA Enforcement Decisions'!L:L,"Negative",'NSA Enforcement Decisions'!Y:Y,"Yes")</f>
        <v/>
      </c>
      <c r="D15" s="11">
        <f>B15-C15</f>
        <v/>
      </c>
      <c r="E15" s="11">
        <f>B15+C15</f>
        <v/>
      </c>
      <c r="F15" s="11" t="inlineStr">
        <is>
          <t>Court State</t>
        </is>
      </c>
    </row>
    <row r="16">
      <c r="A16" s="11" t="inlineStr">
        <is>
          <t>IL</t>
        </is>
      </c>
      <c r="B16" s="11">
        <f>COUNTIFS('NSA Enforcement Decisions'!J:J,A16,'NSA Enforcement Decisions'!L:L,"Positive",'NSA Enforcement Decisions'!Y:Y,"Yes")</f>
        <v/>
      </c>
      <c r="C16" s="11">
        <f>COUNTIFS('NSA Enforcement Decisions'!J:J,A16,'NSA Enforcement Decisions'!L:L,"Negative",'NSA Enforcement Decisions'!Y:Y,"Yes")</f>
        <v/>
      </c>
      <c r="D16" s="11">
        <f>B16-C16</f>
        <v/>
      </c>
      <c r="E16" s="11">
        <f>B16+C16</f>
        <v/>
      </c>
      <c r="F16" s="11" t="inlineStr">
        <is>
          <t>Court State</t>
        </is>
      </c>
    </row>
    <row r="17">
      <c r="A17" s="11" t="inlineStr">
        <is>
          <t>LA</t>
        </is>
      </c>
      <c r="B17" s="11">
        <f>COUNTIFS('NSA Enforcement Decisions'!J:J,A17,'NSA Enforcement Decisions'!L:L,"Positive",'NSA Enforcement Decisions'!Y:Y,"Yes")</f>
        <v/>
      </c>
      <c r="C17" s="11">
        <f>COUNTIFS('NSA Enforcement Decisions'!J:J,A17,'NSA Enforcement Decisions'!L:L,"Negative",'NSA Enforcement Decisions'!Y:Y,"Yes")</f>
        <v/>
      </c>
      <c r="D17" s="11">
        <f>B17-C17</f>
        <v/>
      </c>
      <c r="E17" s="11">
        <f>B17+C17</f>
        <v/>
      </c>
      <c r="F17" s="11" t="inlineStr">
        <is>
          <t>Court State</t>
        </is>
      </c>
    </row>
    <row r="18">
      <c r="A18" s="11" t="inlineStr">
        <is>
          <t>MD</t>
        </is>
      </c>
      <c r="B18" s="11">
        <f>COUNTIFS('NSA Enforcement Decisions'!J:J,A18,'NSA Enforcement Decisions'!L:L,"Positive",'NSA Enforcement Decisions'!Y:Y,"Yes")</f>
        <v/>
      </c>
      <c r="C18" s="11">
        <f>COUNTIFS('NSA Enforcement Decisions'!J:J,A18,'NSA Enforcement Decisions'!L:L,"Negative",'NSA Enforcement Decisions'!Y:Y,"Yes")</f>
        <v/>
      </c>
      <c r="D18" s="11">
        <f>B18-C18</f>
        <v/>
      </c>
      <c r="E18" s="11">
        <f>B18+C18</f>
        <v/>
      </c>
      <c r="F18" s="11" t="inlineStr">
        <is>
          <t>Court State</t>
        </is>
      </c>
    </row>
    <row r="19">
      <c r="A19" s="11" t="inlineStr">
        <is>
          <t>NJ</t>
        </is>
      </c>
      <c r="B19" s="11">
        <f>COUNTIFS('NSA Enforcement Decisions'!J:J,A19,'NSA Enforcement Decisions'!L:L,"Positive",'NSA Enforcement Decisions'!Y:Y,"Yes")</f>
        <v/>
      </c>
      <c r="C19" s="11">
        <f>COUNTIFS('NSA Enforcement Decisions'!J:J,A19,'NSA Enforcement Decisions'!L:L,"Negative",'NSA Enforcement Decisions'!Y:Y,"Yes")</f>
        <v/>
      </c>
      <c r="D19" s="11">
        <f>B19-C19</f>
        <v/>
      </c>
      <c r="E19" s="11">
        <f>B19+C19</f>
        <v/>
      </c>
      <c r="F19" s="11" t="inlineStr">
        <is>
          <t>Court State</t>
        </is>
      </c>
    </row>
    <row r="20">
      <c r="A20" s="11" t="inlineStr">
        <is>
          <t>NY</t>
        </is>
      </c>
      <c r="B20" s="11">
        <f>COUNTIFS('NSA Enforcement Decisions'!J:J,A20,'NSA Enforcement Decisions'!L:L,"Positive",'NSA Enforcement Decisions'!Y:Y,"Yes")</f>
        <v/>
      </c>
      <c r="C20" s="11">
        <f>COUNTIFS('NSA Enforcement Decisions'!J:J,A20,'NSA Enforcement Decisions'!L:L,"Negative",'NSA Enforcement Decisions'!Y:Y,"Yes")</f>
        <v/>
      </c>
      <c r="D20" s="11">
        <f>B20-C20</f>
        <v/>
      </c>
      <c r="E20" s="11">
        <f>B20+C20</f>
        <v/>
      </c>
      <c r="F20" s="11" t="inlineStr">
        <is>
          <t>Court State</t>
        </is>
      </c>
    </row>
    <row r="21">
      <c r="A21" s="11" t="inlineStr">
        <is>
          <t>OH</t>
        </is>
      </c>
      <c r="B21" s="11">
        <f>COUNTIFS('NSA Enforcement Decisions'!J:J,A21,'NSA Enforcement Decisions'!L:L,"Positive",'NSA Enforcement Decisions'!Y:Y,"Yes")</f>
        <v/>
      </c>
      <c r="C21" s="11">
        <f>COUNTIFS('NSA Enforcement Decisions'!J:J,A21,'NSA Enforcement Decisions'!L:L,"Negative",'NSA Enforcement Decisions'!Y:Y,"Yes")</f>
        <v/>
      </c>
      <c r="D21" s="11">
        <f>B21-C21</f>
        <v/>
      </c>
      <c r="E21" s="11">
        <f>B21+C21</f>
        <v/>
      </c>
      <c r="F21" s="11" t="inlineStr">
        <is>
          <t>Court State</t>
        </is>
      </c>
    </row>
    <row r="22">
      <c r="A22" s="11" t="inlineStr">
        <is>
          <t>PA</t>
        </is>
      </c>
      <c r="B22" s="11">
        <f>COUNTIFS('NSA Enforcement Decisions'!J:J,A22,'NSA Enforcement Decisions'!L:L,"Positive",'NSA Enforcement Decisions'!Y:Y,"Yes")</f>
        <v/>
      </c>
      <c r="C22" s="11">
        <f>COUNTIFS('NSA Enforcement Decisions'!J:J,A22,'NSA Enforcement Decisions'!L:L,"Negative",'NSA Enforcement Decisions'!Y:Y,"Yes")</f>
        <v/>
      </c>
      <c r="D22" s="11">
        <f>B22-C22</f>
        <v/>
      </c>
      <c r="E22" s="11">
        <f>B22+C22</f>
        <v/>
      </c>
      <c r="F22" s="11" t="inlineStr">
        <is>
          <t>Court State</t>
        </is>
      </c>
    </row>
    <row r="23">
      <c r="A23" s="11" t="inlineStr">
        <is>
          <t>TX</t>
        </is>
      </c>
      <c r="B23" s="11">
        <f>COUNTIFS('NSA Enforcement Decisions'!J:J,A23,'NSA Enforcement Decisions'!L:L,"Positive",'NSA Enforcement Decisions'!Y:Y,"Yes")</f>
        <v/>
      </c>
      <c r="C23" s="11">
        <f>COUNTIFS('NSA Enforcement Decisions'!J:J,A23,'NSA Enforcement Decisions'!L:L,"Negative",'NSA Enforcement Decisions'!Y:Y,"Yes")</f>
        <v/>
      </c>
      <c r="D23" s="11">
        <f>B23-C23</f>
        <v/>
      </c>
      <c r="E23" s="11">
        <f>B23+C23</f>
        <v/>
      </c>
      <c r="F23" s="11" t="inlineStr">
        <is>
          <t>Court State</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showGridLines="0" workbookViewId="0">
      <selection activeCell="A1" sqref="A1"/>
    </sheetView>
  </sheetViews>
  <sheetFormatPr baseColWidth="8" defaultRowHeight="14.4"/>
  <cols>
    <col width="28" customWidth="1" style="21" min="1" max="1"/>
    <col width="110" customWidth="1" style="21" min="2" max="2"/>
  </cols>
  <sheetData>
    <row r="1">
      <c r="A1" s="20" t="inlineStr">
        <is>
          <t>Methodology and Dashboard Coding</t>
        </is>
      </c>
    </row>
    <row r="2">
      <c r="A2" s="11" t="n"/>
      <c r="B2" s="11" t="n"/>
      <c r="C2" s="11" t="n"/>
      <c r="D2" s="11" t="n"/>
    </row>
    <row r="3">
      <c r="A3" s="14" t="inlineStr">
        <is>
          <t>Field / Rule</t>
        </is>
      </c>
      <c r="B3" s="14" t="inlineStr">
        <is>
          <t>Definition</t>
        </is>
      </c>
      <c r="C3" s="11" t="n"/>
      <c r="D3" s="11" t="n"/>
    </row>
    <row r="4" ht="60" customHeight="1" s="21">
      <c r="A4" s="15" t="inlineStr">
        <is>
          <t>Scope</t>
        </is>
      </c>
      <c r="B4" s="16" t="inlineStr">
        <is>
          <t>Publicly identifiable judicial decisions through September 29, 2026 that directly address whether/how an NSA IDR award may be confirmed, enforced, or converted to judgment. A small number of context-only confirmation/vacatur or nonfinal R&amp;R rows are retained but flagged out of the recommended heat-map universe.</t>
        </is>
      </c>
      <c r="C4" s="11" t="n"/>
      <c r="D4" s="11" t="n"/>
    </row>
    <row r="5" ht="60" customHeight="1" s="21">
      <c r="A5" s="15" t="inlineStr">
        <is>
          <t>Positive</t>
        </is>
      </c>
      <c r="B5" s="16" t="inlineStr">
        <is>
          <t>A court allowed a provider enforcement route to proceed or actually confirmed/enforced an NSA IDR award. Interlocutory denials of dismissal are coded positive because they recognize an enforcement route, but Decision Status identifies that they are not final judgments.</t>
        </is>
      </c>
      <c r="C5" s="11" t="n"/>
      <c r="D5" s="11" t="n"/>
    </row>
    <row r="6" ht="60" customHeight="1" s="21">
      <c r="A6" s="15" t="inlineStr">
        <is>
          <t>Negative</t>
        </is>
      </c>
      <c r="B6" s="16" t="inlineStr">
        <is>
          <t>A court rejected the provider's enforcement/confirmation theory, dismissed the enforcement action, or affirmed such a dismissal.</t>
        </is>
      </c>
      <c r="C6" s="11" t="n"/>
      <c r="D6" s="11" t="n"/>
    </row>
    <row r="7" ht="60" customHeight="1" s="21">
      <c r="A7" s="15" t="inlineStr">
        <is>
          <t>Heat Map Include</t>
        </is>
      </c>
      <c r="B7" s="16" t="inlineStr">
        <is>
          <t>Recommended Yes for judicial rulings that directly resolve or materially recognize/reject an enforcement route. No for nonfinal magistrate R&amp;Rs and vacatur-only/context rows that could distort the heat map.</t>
        </is>
      </c>
      <c r="C7" s="11" t="n"/>
      <c r="D7" s="11" t="n"/>
    </row>
    <row r="8" ht="60" customHeight="1" s="21">
      <c r="A8" s="15" t="inlineStr">
        <is>
          <t>Court State vs. Origin / Plan State</t>
        </is>
      </c>
      <c r="B8" s="16" t="inlineStr">
        <is>
          <t>Court State is the location used by the summary formulas. For federal appellate decisions, Origin / Plan State may be more intuitive for a U.S. state heat map. Your analyst can choose either field. Fifth Circuit is listed with court seat LA and origin TX.</t>
        </is>
      </c>
      <c r="C8" s="11" t="n"/>
      <c r="D8" s="11" t="n"/>
    </row>
    <row r="9" ht="60" customHeight="1" s="21">
      <c r="A9" s="15" t="inlineStr">
        <is>
          <t>Decision counting</t>
        </is>
      </c>
      <c r="B9" s="16" t="inlineStr">
        <is>
          <t>The workbook records one row per judicial decision event, so the same litigation can appear at district and appellate levels. For a heat map of current controlling law, filter Precedential Weight to appellate authority; for a history-of-decisions map, retain all included rows.</t>
        </is>
      </c>
      <c r="C9" s="11" t="n"/>
      <c r="D9" s="11" t="n"/>
    </row>
    <row r="10" ht="60" customHeight="1" s="21">
      <c r="A10" s="15" t="inlineStr">
        <is>
          <t>Award Amount</t>
        </is>
      </c>
      <c r="B10" s="16" t="inlineStr">
        <is>
          <t>Only populated when a reliable public source provided an amount. Some entries are approximate or aggregate and are noted in Dashboard Caution / Notes.</t>
        </is>
      </c>
      <c r="C10" s="11" t="n"/>
      <c r="D10" s="11" t="n"/>
    </row>
    <row r="11" ht="60" customHeight="1" s="21">
      <c r="A11" s="15" t="inlineStr">
        <is>
          <t>Limitations</t>
        </is>
      </c>
      <c r="B11" s="16" t="inlineStr">
        <is>
          <t>This is a best-available public-source litigation research dataset, not a PACER-complete docket census. Sealed orders, unpublished minute orders, newly filed decisions, or decisions not indexed by public search may not appear. Rows with source limitations are specifically flagged.</t>
        </is>
      </c>
      <c r="C11" s="11" t="n"/>
      <c r="D11" s="11" t="n"/>
    </row>
    <row r="12" ht="60" customHeight="1" s="21">
      <c r="A12" s="15" t="inlineStr">
        <is>
          <t>Update recommendation</t>
        </is>
      </c>
      <c r="B12" s="16" t="inlineStr">
        <is>
          <t>Refresh the list before each dashboard publication because appeals are active in the Second, Third, and Seventh Circuits and recent district decisions may be superseded or reversed.</t>
        </is>
      </c>
      <c r="C12" s="11" t="n"/>
      <c r="D12" s="11" t="n"/>
    </row>
    <row r="13"/>
    <row r="14" ht="409.5" customHeight="1" s="21">
      <c r="A14" s="11" t="inlineStr">
        <is>
          <t>Scope note — REACH Air Medical v. Kaiser</t>
        </is>
      </c>
      <c r="B14" s="11" t="inlineStr">
        <is>
          <t>Excluded from enforcement decision universe</t>
        </is>
      </c>
      <c r="C14" s="11" t="inlineStr">
        <is>
          <t>The provider lost the underlying IDR and sued to vacate the award; the Eleventh Circuit affirmed dismissal on Nov. 19, 2025. It is a vacatur challenge, not an action to enforce an unpaid favorable provider IDR award.</t>
        </is>
      </c>
      <c r="D14" s="8" t="inlineStr">
        <is>
          <t>https://law.justia.com/cases/federal/appellate-courts/ca11/24-10135/24-10135-2025-11-19.html</t>
        </is>
      </c>
    </row>
    <row r="15" ht="28.8" customHeight="1" s="21">
      <c r="A15" s="11" t="inlineStr">
        <is>
          <t>Update 2026-10-16</t>
        </is>
      </c>
      <c r="B15" s="11" t="inlineStr">
        <is>
          <t>Added NSA-048 and NSA-053 to NSA-060 and four pending appeals approved in an internal review of 2026-10-12; updated NSA-019, NSA-026, NSA-027, NSA-035 and NSA-041. Items still under review are in an internal file.</t>
        </is>
      </c>
    </row>
  </sheetData>
  <mergeCells count="1">
    <mergeCell ref="A1:D1"/>
  </mergeCells>
  <hyperlinks>
    <hyperlink xmlns:r="http://schemas.openxmlformats.org/officeDocument/2006/relationships" ref="D14"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7"/>
  <sheetViews>
    <sheetView showGridLines="0" workbookViewId="0">
      <pane ySplit="1" topLeftCell="A2" activePane="bottomLeft" state="frozen"/>
      <selection pane="bottomLeft" activeCell="A1" sqref="A1"/>
    </sheetView>
  </sheetViews>
  <sheetFormatPr baseColWidth="8" defaultRowHeight="14.4"/>
  <cols>
    <col width="12" customWidth="1" style="21" min="1" max="1"/>
    <col width="52" customWidth="1" style="21" min="2" max="2"/>
    <col width="15" customWidth="1" style="21" min="3" max="3"/>
    <col width="12" customWidth="1" style="21" min="4" max="4"/>
    <col width="80" customWidth="1" style="21" min="5" max="5"/>
    <col width="62" customWidth="1" style="21" min="6" max="6"/>
  </cols>
  <sheetData>
    <row r="1">
      <c r="A1" s="17" t="inlineStr">
        <is>
          <t>Decision ID</t>
        </is>
      </c>
      <c r="B1" s="17" t="inlineStr">
        <is>
          <t>Case Name</t>
        </is>
      </c>
      <c r="C1" s="17" t="inlineStr">
        <is>
          <t>Decision Date</t>
        </is>
      </c>
      <c r="D1" s="17" t="inlineStr">
        <is>
          <t>Outcome</t>
        </is>
      </c>
      <c r="E1" s="17" t="inlineStr">
        <is>
          <t>Source URL</t>
        </is>
      </c>
      <c r="F1" s="17" t="inlineStr">
        <is>
          <t>Source Note</t>
        </is>
      </c>
    </row>
    <row r="2" ht="31.5" customHeight="1" s="21">
      <c r="A2" s="11" t="inlineStr">
        <is>
          <t>NSA-001</t>
        </is>
      </c>
      <c r="B2" s="11" t="inlineStr">
        <is>
          <t>GPS of New Jersey M.D., P.C. a/s/o *** v. Horizon Blue Cross Blue Shield of New Jersey</t>
        </is>
      </c>
      <c r="C2" s="12" t="n">
        <v>45177</v>
      </c>
      <c r="D2" s="11" t="inlineStr">
        <is>
          <t>Positive</t>
        </is>
      </c>
      <c r="E2" s="18" t="inlineStr">
        <is>
          <t>https://law.justia.com/cases/federal/district-courts/new-jersey/njdce/2%3A2022cv06614/504421/21/</t>
        </is>
      </c>
      <c r="F2" s="11" t="inlineStr">
        <is>
          <t>Award favored payer; useful confirmation precedent but not a provider nonpayment enforcement suit.</t>
        </is>
      </c>
    </row>
    <row r="3" ht="31.5" customHeight="1" s="21">
      <c r="A3" s="11" t="inlineStr">
        <is>
          <t>NSA-002</t>
        </is>
      </c>
      <c r="B3" s="11" t="inlineStr">
        <is>
          <t>Worldwide Aircraft Services, Inc. d/b/a Jet ICU v. Worldwide Insurance Services, LLC d/b/a GeoBlue</t>
        </is>
      </c>
      <c r="C3" s="12" t="n">
        <v>45553</v>
      </c>
      <c r="D3" s="11" t="inlineStr">
        <is>
          <t>Positive</t>
        </is>
      </c>
      <c r="E3" s="18" t="inlineStr">
        <is>
          <t>https://docs.justia.com/cases/federal/district-courts/florida/flmdce/8%3A2024cv00840/426099/25</t>
        </is>
      </c>
      <c r="F3" s="11" t="inlineStr">
        <is>
          <t>Positive result, but limited because the payer's challenge to FAA confirmation was treated as waived.</t>
        </is>
      </c>
    </row>
    <row r="4" ht="30" customHeight="1" s="21">
      <c r="A4" s="11" t="inlineStr">
        <is>
          <t>NSA-003</t>
        </is>
      </c>
      <c r="B4" s="11" t="inlineStr">
        <is>
          <t>FHMC LLC v. Blue Cross and Blue Shield of Arizona, Inc.</t>
        </is>
      </c>
      <c r="C4" s="12" t="n">
        <v>45386</v>
      </c>
      <c r="D4" s="11" t="inlineStr">
        <is>
          <t>Negative</t>
        </is>
      </c>
      <c r="E4" s="18" t="inlineStr">
        <is>
          <t>https://dockets.justia.com/docket/arizona/azdce/2%3A2023cv00876/1334867</t>
        </is>
      </c>
      <c r="F4" s="11" t="inlineStr">
        <is>
          <t>Early negative enforcement decision frequently cited by later courts.</t>
        </is>
      </c>
    </row>
    <row r="5" ht="47.25" customHeight="1" s="21">
      <c r="A5" s="11" t="inlineStr">
        <is>
          <t>NSA-004</t>
        </is>
      </c>
      <c r="B5" s="11" t="inlineStr">
        <is>
          <t>Guardian Flight, L.L.C. v. Health Care Service Corp.</t>
        </is>
      </c>
      <c r="C5" s="12" t="n">
        <v>45442</v>
      </c>
      <c r="D5" s="11" t="inlineStr">
        <is>
          <t>Negative</t>
        </is>
      </c>
      <c r="E5" s="18" t="inlineStr">
        <is>
          <t>https://www.americanbar.org/groups/tort_trial_insurance_practice/resources/journal/2025-fall/recent-developments-health-insurance-life-insurance-disability-insurance-law/</t>
        </is>
      </c>
      <c r="F5" s="11" t="inlineStr">
        <is>
          <t>Superseded in precedential significance by Fifth Circuit affirmance; retain as separate decision event.</t>
        </is>
      </c>
    </row>
    <row r="6" ht="31.5" customHeight="1" s="21">
      <c r="A6" s="11" t="inlineStr">
        <is>
          <t>NSA-005</t>
        </is>
      </c>
      <c r="B6" s="11" t="inlineStr">
        <is>
          <t>Guardian Flight, L.L.C. v. Health Care Service Corp.</t>
        </is>
      </c>
      <c r="C6" s="12" t="n">
        <v>45820</v>
      </c>
      <c r="D6" s="11" t="inlineStr">
        <is>
          <t>Negative</t>
        </is>
      </c>
      <c r="E6" s="18" t="inlineStr">
        <is>
          <t>https://www.americanbar.org/groups/health_law/news/2025/08/fifth-circuit-no-surprises-act-private-lawsuits-idr-awards/</t>
        </is>
      </c>
      <c r="F6" s="11" t="inlineStr">
        <is>
          <t>For geographic heat map, Court State is LA (Fifth Circuit seat); Origin State is TX and may be preferable for state shading.</t>
        </is>
      </c>
    </row>
    <row r="7" ht="30" customHeight="1" s="21">
      <c r="A7" s="11" t="inlineStr">
        <is>
          <t>NSA-006</t>
        </is>
      </c>
      <c r="B7" s="11" t="inlineStr">
        <is>
          <t>Jeffrey Farkas, M.D., LLC v. Horizon Blue Cross Blue Shield of New Jersey</t>
        </is>
      </c>
      <c r="C7" s="12" t="n">
        <v>45840</v>
      </c>
      <c r="D7" s="11" t="inlineStr">
        <is>
          <t>Negative</t>
        </is>
      </c>
      <c r="E7" s="18" t="inlineStr">
        <is>
          <t>https://caselaw.findlaw.com/court/us-dis-crt-ed-new-yor/117456844.html</t>
        </is>
      </c>
      <c r="F7" s="11" t="inlineStr">
        <is>
          <t>Negative district authority in Second Circuit before East Coast appellate ruling.</t>
        </is>
      </c>
    </row>
    <row r="8" ht="45" customHeight="1" s="21">
      <c r="A8" s="11" t="inlineStr">
        <is>
          <t>NSA-007</t>
        </is>
      </c>
      <c r="B8" s="11" t="inlineStr">
        <is>
          <t>East Coast Advanced Plastic Surgery, LLC v. Cigna Health and Life Insurance Co.</t>
        </is>
      </c>
      <c r="C8" s="12" t="n">
        <v>45883</v>
      </c>
      <c r="D8" s="11" t="inlineStr">
        <is>
          <t>Negative</t>
        </is>
      </c>
      <c r="E8" s="18" t="inlineStr">
        <is>
          <t>https://law.justia.com/cases/federal/district-courts/new-york/nysdce/1%3A2025cv00255/634810/49/</t>
        </is>
      </c>
      <c r="F8" s="11" t="inlineStr">
        <is>
          <t>Superseded in precedential significance by Second Circuit affirmance; amount is described as more than $3 million, so recorded as approximate floor.</t>
        </is>
      </c>
    </row>
    <row r="9" ht="31.5" customHeight="1" s="21">
      <c r="A9" s="11" t="inlineStr">
        <is>
          <t>NSA-008</t>
        </is>
      </c>
      <c r="B9" s="11" t="inlineStr">
        <is>
          <t>Modern Orthopaedics of NJ v. Premera Blue Cross</t>
        </is>
      </c>
      <c r="C9" s="12" t="n">
        <v>45964</v>
      </c>
      <c r="D9" s="11" t="inlineStr">
        <is>
          <t>Negative</t>
        </is>
      </c>
      <c r="E9" s="18" t="inlineStr">
        <is>
          <t>https://law.justia.com/cases/federal/district-courts/new-jersey/njdce/2%3A2025cv01087/562531/29/</t>
        </is>
      </c>
      <c r="F9" s="11" t="inlineStr">
        <is>
          <t>Leading D.N.J. decision cited by many subsequent cases.</t>
        </is>
      </c>
    </row>
    <row r="10" ht="45" customHeight="1" s="21">
      <c r="A10" s="11" t="inlineStr">
        <is>
          <t>NSA-009</t>
        </is>
      </c>
      <c r="B10" s="11" t="inlineStr">
        <is>
          <t>PHI Health, LLC v. Keating Auto Group Employee Benefit Plan Trust / Entrust, LLC</t>
        </is>
      </c>
      <c r="C10" s="12" t="n">
        <v>46002</v>
      </c>
      <c r="D10" s="11" t="inlineStr">
        <is>
          <t>Negative</t>
        </is>
      </c>
      <c r="E10" s="18" t="inlineStr">
        <is>
          <t>https://www.ded.uscourts.gov/sites/ded/files/opinions/24-1378.pdf</t>
        </is>
      </c>
      <c r="F10" s="11" t="inlineStr">
        <is>
          <t>Primary public link is a later court opinion citing the adopted Texas decision (2025 WL 3617339); verify PACER citation if displaying document link publicly.</t>
        </is>
      </c>
    </row>
    <row r="11" ht="31.5" customHeight="1" s="21">
      <c r="A11" s="11" t="inlineStr">
        <is>
          <t>NSA-010</t>
        </is>
      </c>
      <c r="B11" s="11" t="inlineStr">
        <is>
          <t>Freeman Pain Institute, P.A. v. Horizon Blue Cross Blue Shield of New Jersey</t>
        </is>
      </c>
      <c r="C11" s="12" t="n">
        <v>45985</v>
      </c>
      <c r="D11" s="11" t="inlineStr">
        <is>
          <t>Negative</t>
        </is>
      </c>
      <c r="E11" s="18" t="inlineStr">
        <is>
          <t>https://law.justia.com/cases/federal/district-courts/new-jersey/njdce/2%3A2025cv02507/565759/20/</t>
        </is>
      </c>
      <c r="F11" s="11" t="inlineStr">
        <is>
          <t>Part of a series of D.N.J. Horizon enforcement decisions.</t>
        </is>
      </c>
    </row>
    <row r="12" ht="31.5" customHeight="1" s="21">
      <c r="A12" s="11" t="inlineStr">
        <is>
          <t>NSA-011</t>
        </is>
      </c>
      <c r="B12" s="11" t="inlineStr">
        <is>
          <t>Northeast Neurosurgical Associates v. Horizon Blue Cross Blue Shield of New Jersey</t>
        </is>
      </c>
      <c r="C12" s="12" t="n">
        <v>45986</v>
      </c>
      <c r="D12" s="11" t="inlineStr">
        <is>
          <t>Negative</t>
        </is>
      </c>
      <c r="E12" s="18" t="inlineStr">
        <is>
          <t>https://law.justia.com/cases/federal/district-courts/new-jersey/njdce/2%3A2025cv06288/571096/17/</t>
        </is>
      </c>
      <c r="F12" s="11" t="inlineStr">
        <is>
          <t>Part of a series of D.N.J. Horizon enforcement decisions.</t>
        </is>
      </c>
    </row>
    <row r="13" ht="31.5" customHeight="1" s="21">
      <c r="A13" s="11" t="inlineStr">
        <is>
          <t>NSA-012</t>
        </is>
      </c>
      <c r="B13" s="11" t="inlineStr">
        <is>
          <t>Garden State Pain Management v. Horizon Blue Cross Blue Shield of New Jersey</t>
        </is>
      </c>
      <c r="C13" s="12" t="n">
        <v>45992</v>
      </c>
      <c r="D13" s="11" t="inlineStr">
        <is>
          <t>Negative</t>
        </is>
      </c>
      <c r="E13" s="18" t="inlineStr">
        <is>
          <t>https://law.justia.com/cases/federal/district-courts/new-jersey/njdce/2%3A2025cv05679/570355/21/</t>
        </is>
      </c>
      <c r="F13" s="11" t="inlineStr">
        <is>
          <t>Part of a series of D.N.J. Horizon enforcement decisions.</t>
        </is>
      </c>
    </row>
    <row r="14" ht="31.5" customHeight="1" s="21">
      <c r="A14" s="11" t="inlineStr">
        <is>
          <t>NSA-013</t>
        </is>
      </c>
      <c r="B14" s="11" t="inlineStr">
        <is>
          <t>Complete Medical Wellness LLC v. Horizon Blue Cross Blue Shield of New Jersey</t>
        </is>
      </c>
      <c r="C14" s="12" t="n">
        <v>45992</v>
      </c>
      <c r="D14" s="11" t="inlineStr">
        <is>
          <t>Negative</t>
        </is>
      </c>
      <c r="E14" s="18" t="inlineStr">
        <is>
          <t>https://law.justia.com/cases/federal/district-courts/new-jersey/njdce/2%3A2025cv04177/568468/17/</t>
        </is>
      </c>
      <c r="F14" s="11" t="inlineStr">
        <is>
          <t>Part of a series of D.N.J. Horizon enforcement decisions.</t>
        </is>
      </c>
    </row>
    <row r="15" ht="31.5" customHeight="1" s="21">
      <c r="A15" s="11" t="inlineStr">
        <is>
          <t>NSA-014</t>
        </is>
      </c>
      <c r="B15" s="11" t="inlineStr">
        <is>
          <t>Tamagnini v. Horizon Blue Cross Blue Shield of New Jersey</t>
        </is>
      </c>
      <c r="C15" s="12" t="n">
        <v>45993</v>
      </c>
      <c r="D15" s="11" t="inlineStr">
        <is>
          <t>Negative</t>
        </is>
      </c>
      <c r="E15" s="18" t="inlineStr">
        <is>
          <t>https://law.justia.com/cases/federal/district-courts/new-jersey/njdce/2%3A2025cv02022/564436/16/</t>
        </is>
      </c>
      <c r="F15" s="11" t="inlineStr">
        <is>
          <t>Part of a series of D.N.J. Horizon enforcement decisions.</t>
        </is>
      </c>
    </row>
    <row r="16" ht="31.5" customHeight="1" s="21">
      <c r="A16" s="11" t="inlineStr">
        <is>
          <t>NSA-015</t>
        </is>
      </c>
      <c r="B16" s="11" t="inlineStr">
        <is>
          <t>Douglas Spiel, M.D., P.A. v. Horizon Blue Cross Blue Shield of New Jersey</t>
        </is>
      </c>
      <c r="C16" s="12" t="n">
        <v>45993</v>
      </c>
      <c r="D16" s="11" t="inlineStr">
        <is>
          <t>Negative</t>
        </is>
      </c>
      <c r="E16" s="18" t="inlineStr">
        <is>
          <t>https://law.justia.com/cases/federal/district-courts/new-jersey/njdce/2%3A2025cv14769/581737/14/</t>
        </is>
      </c>
      <c r="F16" s="11" t="inlineStr">
        <is>
          <t>Part of a series of D.N.J. Horizon enforcement decisions.</t>
        </is>
      </c>
    </row>
    <row r="17" ht="31.5" customHeight="1" s="21">
      <c r="A17" s="11" t="inlineStr">
        <is>
          <t>NSA-016</t>
        </is>
      </c>
      <c r="B17" s="11" t="inlineStr">
        <is>
          <t>Interventional Pain Management v. Horizon Blue Cross Blue Shield of New Jersey</t>
        </is>
      </c>
      <c r="C17" s="12" t="n">
        <v>45994</v>
      </c>
      <c r="D17" s="11" t="inlineStr">
        <is>
          <t>Negative</t>
        </is>
      </c>
      <c r="E17" s="18" t="inlineStr">
        <is>
          <t>https://law.justia.com/cases/federal/district-courts/new-jersey/njdce/2%3A2025cv12032/577453/18/</t>
        </is>
      </c>
      <c r="F17" s="11" t="inlineStr">
        <is>
          <t>Part of a series of D.N.J. Horizon enforcement decisions.</t>
        </is>
      </c>
    </row>
    <row r="18" ht="31.5" customHeight="1" s="21">
      <c r="A18" s="11" t="inlineStr">
        <is>
          <t>NSA-017</t>
        </is>
      </c>
      <c r="B18" s="11" t="inlineStr">
        <is>
          <t>T.V. Seshan, M.D., P.C. v. Blue Cross Blue Shield Association et al.</t>
        </is>
      </c>
      <c r="C18" s="12" t="n">
        <v>45996</v>
      </c>
      <c r="D18" s="11" t="inlineStr">
        <is>
          <t>Negative</t>
        </is>
      </c>
      <c r="E18" s="18" t="inlineStr">
        <is>
          <t>https://law.justia.com/cases/federal/district-courts/new-york/nysdce/7%3A2025cv00499/635237/49/</t>
        </is>
      </c>
      <c r="F18" s="11" t="inlineStr">
        <is>
          <t>Consolidated disposition; analyst may count as one decision event rather than four cases.</t>
        </is>
      </c>
    </row>
    <row r="19" ht="31.5" customHeight="1" s="21">
      <c r="A19" s="11" t="inlineStr">
        <is>
          <t>NSA-018</t>
        </is>
      </c>
      <c r="B19" s="11" t="inlineStr">
        <is>
          <t>Mitchell F. Reiter, M.D., P.C. v. Horizon Blue Cross Blue Shield of New Jersey</t>
        </is>
      </c>
      <c r="C19" s="12" t="n">
        <v>45999</v>
      </c>
      <c r="D19" s="11" t="inlineStr">
        <is>
          <t>Negative</t>
        </is>
      </c>
      <c r="E19" s="18" t="inlineStr">
        <is>
          <t>https://cases.justia.com/federal/district-courts/new-jersey/njdce/2%3A2025cv12526/578331/13/0.pdf</t>
        </is>
      </c>
      <c r="F19" s="11" t="inlineStr">
        <is>
          <t>Part of a series of D.N.J. Horizon enforcement decisions.</t>
        </is>
      </c>
    </row>
    <row r="20" ht="31.5" customHeight="1" s="21">
      <c r="A20" s="11" t="inlineStr">
        <is>
          <t>NSA-019</t>
        </is>
      </c>
      <c r="B20" s="11" t="inlineStr">
        <is>
          <t>Worldwide Aircraft Services, Inc. d/b/a Jet ICU v. Freedom Life Insurance Co.</t>
        </is>
      </c>
      <c r="C20" s="12" t="n">
        <v>46002</v>
      </c>
      <c r="D20" s="11" t="inlineStr">
        <is>
          <t>Negative</t>
        </is>
      </c>
      <c r="E20" s="18" t="inlineStr">
        <is>
          <t>https://law.justia.com/cases/federal/district-courts/florida/flmdce/8%3A2025cv01158/441542/50/</t>
        </is>
      </c>
      <c r="F20" s="11" t="inlineStr">
        <is>
          <t>Same provider had a positive 2024 GeoBlue confirmation decision, illustrating jurisdiction/posture differences.</t>
        </is>
      </c>
    </row>
    <row r="21" ht="31.5" customHeight="1" s="21">
      <c r="A21" s="11" t="inlineStr">
        <is>
          <t>NSA-020</t>
        </is>
      </c>
      <c r="B21" s="11" t="inlineStr">
        <is>
          <t>North Jersey Neurosurgical Associates, P.A. v. Horizon Blue Cross Blue Shield of New Jersey</t>
        </is>
      </c>
      <c r="C21" s="12" t="n">
        <v>46009</v>
      </c>
      <c r="D21" s="11" t="inlineStr">
        <is>
          <t>Negative</t>
        </is>
      </c>
      <c r="E21" s="18" t="inlineStr">
        <is>
          <t>https://law.justia.com/cases/federal/district-courts/new-jersey/njdce/2%3A2025cv12593/578403/18/</t>
        </is>
      </c>
      <c r="F21" s="11" t="inlineStr">
        <is>
          <t>Award amount reflected in public decision.</t>
        </is>
      </c>
    </row>
    <row r="22" ht="31.5" customHeight="1" s="21">
      <c r="A22" s="11" t="inlineStr">
        <is>
          <t>NSA-021</t>
        </is>
      </c>
      <c r="B22" s="11" t="inlineStr">
        <is>
          <t>Comprehensive OBGYN, P.A. v. Horizon Blue Cross Blue Shield of New Jersey</t>
        </is>
      </c>
      <c r="C22" s="12" t="n">
        <v>46009</v>
      </c>
      <c r="D22" s="11" t="inlineStr">
        <is>
          <t>Negative</t>
        </is>
      </c>
      <c r="E22" s="18" t="inlineStr">
        <is>
          <t>https://law.justia.com/cases/federal/district-courts/new-jersey/njdce/2%3A2025cv12682/578514/20/</t>
        </is>
      </c>
      <c r="F22" s="11" t="inlineStr">
        <is>
          <t>Award amount reflected in public decision.</t>
        </is>
      </c>
    </row>
    <row r="23" ht="31.5" customHeight="1" s="21">
      <c r="A23" s="11" t="inlineStr">
        <is>
          <t>NSA-022</t>
        </is>
      </c>
      <c r="B23" s="11" t="inlineStr">
        <is>
          <t>Neuromon Professionals LLC v. Aetna Life Insurance Co.</t>
        </is>
      </c>
      <c r="C23" s="12" t="n">
        <v>46009</v>
      </c>
      <c r="D23" s="11" t="inlineStr">
        <is>
          <t>Negative</t>
        </is>
      </c>
      <c r="E23" s="18" t="inlineStr">
        <is>
          <t>https://law.justia.com/cases/federal/district-courts/new-jersey/njdce/2%3A2025cv01701/563886/20/</t>
        </is>
      </c>
      <c r="F23" s="11" t="inlineStr">
        <is>
          <t>Amount combines two public award amounts ($11,200 + $11,700).</t>
        </is>
      </c>
    </row>
    <row r="24" ht="31.5" customHeight="1" s="21">
      <c r="A24" s="11" t="inlineStr">
        <is>
          <t>NSA-023</t>
        </is>
      </c>
      <c r="B24" s="11" t="inlineStr">
        <is>
          <t>GuardION Medical LLC v. MedCost Benefit Services LLC</t>
        </is>
      </c>
      <c r="C24" s="12" t="n">
        <v>46049</v>
      </c>
      <c r="D24" s="11" t="inlineStr">
        <is>
          <t>Negative</t>
        </is>
      </c>
      <c r="E24" s="18" t="inlineStr">
        <is>
          <t>https://docs.justia.com/cases/federal/district-courts/georgia/gamdce/5%3A2025cv00223/137486/17</t>
        </is>
      </c>
      <c r="F24" s="11" t="inlineStr">
        <is>
          <t>Public opinion describes total award as approximately $15,400.</t>
        </is>
      </c>
    </row>
    <row r="25" ht="31.5" customHeight="1" s="21">
      <c r="A25" s="11" t="inlineStr">
        <is>
          <t>NSA-024</t>
        </is>
      </c>
      <c r="B25" s="11" t="inlineStr">
        <is>
          <t>Worldwide Aircraft Services, Inc. d/b/a Jet ICU v. Aetna Life Insurance Co.</t>
        </is>
      </c>
      <c r="C25" s="12" t="n">
        <v>46057</v>
      </c>
      <c r="D25" s="11" t="inlineStr">
        <is>
          <t>Negative</t>
        </is>
      </c>
      <c r="E25" s="18" t="inlineStr">
        <is>
          <t>https://docs.justia.com/cases/federal/district-courts/florida/flmdce/8%3A2025cv02231/446265/23</t>
        </is>
      </c>
      <c r="F25" s="11" t="inlineStr">
        <is>
          <t>Contrasts with Jet ICU's 2024 GeoBlue confirmation case.</t>
        </is>
      </c>
    </row>
    <row r="26" ht="31.5" customHeight="1" s="21">
      <c r="A26" s="11" t="inlineStr">
        <is>
          <t>NSA-025</t>
        </is>
      </c>
      <c r="B26" s="11" t="inlineStr">
        <is>
          <t>SpecialtyCare, Inc. v. MedCost, LLC</t>
        </is>
      </c>
      <c r="C26" s="12" t="n">
        <v>46069</v>
      </c>
      <c r="D26" s="11" t="inlineStr">
        <is>
          <t>Negative</t>
        </is>
      </c>
      <c r="E26" s="18" t="inlineStr">
        <is>
          <t>https://law.justia.com/cases/delaware/court-of-chancery/2026/c-a-no-2025-0011-dh.html</t>
        </is>
      </c>
      <c r="F26" s="11" t="inlineStr">
        <is>
          <t>Important state-court decision; not a federal district ruling.</t>
        </is>
      </c>
    </row>
    <row r="27" ht="31.5" customHeight="1" s="21">
      <c r="A27" s="11" t="inlineStr">
        <is>
          <t>NSA-026</t>
        </is>
      </c>
      <c r="B27" s="11" t="inlineStr">
        <is>
          <t>SpecialtyCare, Inc. et al. v. CIGNA Healthcare, Inc.</t>
        </is>
      </c>
      <c r="C27" s="12" t="n">
        <v>46073</v>
      </c>
      <c r="D27" s="11" t="inlineStr">
        <is>
          <t>Negative</t>
        </is>
      </c>
      <c r="E27" s="18" t="inlineStr">
        <is>
          <t>https://docs.justia.com/cases/federal/district-courts/delaware/dedce/1%3A2024cv01378/87654/26</t>
        </is>
      </c>
      <c r="F27" s="11" t="inlineStr">
        <is>
          <t>Do not heat-map this R&amp;R as a final decision; track final district disposition separately when verified.</t>
        </is>
      </c>
    </row>
    <row r="28" ht="31.5" customHeight="1" s="21">
      <c r="A28" s="11" t="inlineStr">
        <is>
          <t>NSA-027</t>
        </is>
      </c>
      <c r="B28" s="11" t="inlineStr">
        <is>
          <t>SpecialtyCare, Inc. et al. v. UMR, Inc.</t>
        </is>
      </c>
      <c r="C28" s="12" t="n">
        <v>46073</v>
      </c>
      <c r="D28" s="11" t="inlineStr">
        <is>
          <t>Negative</t>
        </is>
      </c>
      <c r="E28" s="18" t="inlineStr">
        <is>
          <t>https://docs.justia.com/cases/federal/district-courts/delaware/dedce/1%3A2024cv01396/87709/24</t>
        </is>
      </c>
      <c r="F28" s="11" t="inlineStr">
        <is>
          <t>Do not heat-map this R&amp;R as a final decision; track final district disposition separately when verified.</t>
        </is>
      </c>
    </row>
    <row r="29" ht="31.5" customHeight="1" s="21">
      <c r="A29" s="11" t="inlineStr">
        <is>
          <t>NSA-028</t>
        </is>
      </c>
      <c r="B29" s="11" t="inlineStr">
        <is>
          <t>SpecialtyCare, Inc. et al. v. Meritain Health, Inc.</t>
        </is>
      </c>
      <c r="C29" s="12" t="n">
        <v>46098</v>
      </c>
      <c r="D29" s="11" t="inlineStr">
        <is>
          <t>Negative</t>
        </is>
      </c>
      <c r="E29" s="18" t="inlineStr">
        <is>
          <t>https://docs.justia.com/cases/federal/district-courts/delaware/dedce/1%3A2025cv00198/88260/42</t>
        </is>
      </c>
      <c r="F29" s="11" t="inlineStr">
        <is>
          <t>Final decision; replaces the 2026-02-09 R&amp;R for heat-map purposes.</t>
        </is>
      </c>
    </row>
    <row r="30" ht="31.5" customHeight="1" s="21">
      <c r="A30" s="11" t="inlineStr">
        <is>
          <t>NSA-029</t>
        </is>
      </c>
      <c r="B30" s="11" t="inlineStr">
        <is>
          <t>PHI Health, LLC v. Optimum Choice, Inc.</t>
        </is>
      </c>
      <c r="C30" s="12" t="n">
        <v>46108</v>
      </c>
      <c r="D30" s="11" t="inlineStr">
        <is>
          <t>Positive</t>
        </is>
      </c>
      <c r="E30" s="18" t="inlineStr">
        <is>
          <t>https://law.justia.com/cases/federal/district-courts/maryland/mddce/1%3A2025cv02320/586626/44/</t>
        </is>
      </c>
      <c r="F30" s="11" t="inlineStr">
        <is>
          <t>Positive on availability of enforcement action, but not itself a final confirmation judgment.</t>
        </is>
      </c>
    </row>
    <row r="31" ht="31.5" customHeight="1" s="21">
      <c r="A31" s="11" t="inlineStr">
        <is>
          <t>NSA-030</t>
        </is>
      </c>
      <c r="B31" s="11" t="inlineStr">
        <is>
          <t>NeuroShield Network SE, LLC v. Phoenix Administrators, LLC d/b/a Performance Health</t>
        </is>
      </c>
      <c r="C31" s="12" t="n">
        <v>46111</v>
      </c>
      <c r="D31" s="11" t="inlineStr">
        <is>
          <t>Negative</t>
        </is>
      </c>
      <c r="E31" s="18" t="inlineStr">
        <is>
          <t>https://law.justia.com/cases/federal/district-courts/ohio/ohndce/1%3A2025cv01277/318516/17/</t>
        </is>
      </c>
      <c r="F31" s="11" t="inlineStr">
        <is>
          <t>Unpaid amount requested was about $15,048.31; total award approximately $15,400.</t>
        </is>
      </c>
    </row>
    <row r="32" ht="31.5" customHeight="1" s="21">
      <c r="A32" s="11" t="inlineStr">
        <is>
          <t>NSA-031</t>
        </is>
      </c>
      <c r="B32" s="11" t="inlineStr">
        <is>
          <t>T.V. Seshan, M.D., P.C. v. Aetna, Inc.</t>
        </is>
      </c>
      <c r="C32" s="12" t="n">
        <v>46111</v>
      </c>
      <c r="D32" s="11" t="inlineStr">
        <is>
          <t>Negative</t>
        </is>
      </c>
      <c r="E32" s="18" t="inlineStr">
        <is>
          <t>https://law.justia.com/cases/federal/district-courts/new-york/nysdce/7%3A2025cv02938/640257/18/</t>
        </is>
      </c>
      <c r="F32" s="11" t="inlineStr">
        <is>
          <t>Consistent with later Second Circuit East Coast ruling.</t>
        </is>
      </c>
    </row>
    <row r="33" ht="31.5" customHeight="1" s="21">
      <c r="A33" s="11" t="inlineStr">
        <is>
          <t>NSA-032</t>
        </is>
      </c>
      <c r="B33" s="11" t="inlineStr">
        <is>
          <t>Jeffrey Farkas, M.D., LLC v. 1199SEIU National Benefit Fund</t>
        </is>
      </c>
      <c r="C33" s="12" t="n">
        <v>46113</v>
      </c>
      <c r="D33" s="11" t="inlineStr">
        <is>
          <t>Negative</t>
        </is>
      </c>
      <c r="E33" s="18" t="inlineStr">
        <is>
          <t>https://law.justia.com/cases/federal/district-courts/new-york/nyedce/1%3A2025cv00057/525792/33/</t>
        </is>
      </c>
      <c r="F33" s="11" t="inlineStr">
        <is>
          <t>Consistent with later Second Circuit East Coast ruling.</t>
        </is>
      </c>
    </row>
    <row r="34" ht="31.5" customHeight="1" s="21">
      <c r="A34" s="11" t="inlineStr">
        <is>
          <t>NSA-033</t>
        </is>
      </c>
      <c r="B34" s="11" t="inlineStr">
        <is>
          <t>Advanced Vascular Associates v. Horizon Blue Cross Blue Shield of New Jersey</t>
        </is>
      </c>
      <c r="C34" s="12" t="n">
        <v>46119</v>
      </c>
      <c r="D34" s="11" t="inlineStr">
        <is>
          <t>Negative</t>
        </is>
      </c>
      <c r="E34" s="18" t="inlineStr">
        <is>
          <t>https://docs.justia.com/cases/federal/district-courts/pennsylvania/paedce/2%3A2025cv05068/643142/26</t>
        </is>
      </c>
      <c r="F34" s="11" t="inlineStr">
        <is>
          <t>Clear negative merits decision on both NSA and FAA theories.</t>
        </is>
      </c>
    </row>
    <row r="35" ht="45" customHeight="1" s="21">
      <c r="A35" s="11" t="inlineStr">
        <is>
          <t>NSA-034</t>
        </is>
      </c>
      <c r="B35" s="11" t="inlineStr">
        <is>
          <t>Agag v. Cigna Health and Life Insurance Co.</t>
        </is>
      </c>
      <c r="C35" s="12" t="n">
        <v>46127</v>
      </c>
      <c r="D35" s="11" t="inlineStr">
        <is>
          <t>Positive</t>
        </is>
      </c>
      <c r="E35" s="18" t="inlineStr">
        <is>
          <t>https://www.govinfo.gov/content/pkg/USCOURTS-ctd-3_25-cv-00498/pdf/USCOURTS-ctd-3_25-cv-00498-0.pdf</t>
        </is>
      </c>
      <c r="F35" s="11" t="inlineStr">
        <is>
          <t>Positive confirmation result, but theory is narrower than an implied damages cause and may be affected by later Second Circuit authority.</t>
        </is>
      </c>
    </row>
    <row r="36" ht="30" customHeight="1" s="21">
      <c r="A36" s="11" t="inlineStr">
        <is>
          <t>NSA-035</t>
        </is>
      </c>
      <c r="B36" s="11" t="inlineStr">
        <is>
          <t>Guardian Flight LLC et al. v. Aetna Health Inc. et al.</t>
        </is>
      </c>
      <c r="C36" s="12" t="n">
        <v>45791</v>
      </c>
      <c r="D36" s="11" t="inlineStr">
        <is>
          <t>Positive</t>
        </is>
      </c>
      <c r="E36" s="18" t="inlineStr">
        <is>
          <t>https://app.midpage.ai/document/guardian-flight-llc-v-aetna-11050925</t>
        </is>
      </c>
      <c r="F36" s="11" t="inlineStr">
        <is>
          <t>Positive district ruling now in tension with binding Second Circuit authority.</t>
        </is>
      </c>
    </row>
    <row r="37" ht="31.5" customHeight="1" s="21">
      <c r="A37" s="11" t="inlineStr">
        <is>
          <t>NSA-036</t>
        </is>
      </c>
      <c r="B37" s="11" t="inlineStr">
        <is>
          <t>SpecialtyCare, Inc. et al. v. CareFirst of Maryland, Inc.</t>
        </is>
      </c>
      <c r="C37" s="12" t="n">
        <v>46182</v>
      </c>
      <c r="D37" s="11" t="inlineStr">
        <is>
          <t>Positive</t>
        </is>
      </c>
      <c r="E37" s="18" t="inlineStr">
        <is>
          <t>https://www2.mdd.uscourts.gov/Opinions/Opinions/2026-06-09%20SpecialtyCare%20granting%20in%20part%20MTD%20%2825-130%29.pdf</t>
        </is>
      </c>
      <c r="F37" s="11" t="inlineStr">
        <is>
          <t>Positive Fourth Circuit district authority; not a final confirmation judgment.</t>
        </is>
      </c>
    </row>
    <row r="38" ht="31.5" customHeight="1" s="21">
      <c r="A38" s="11" t="inlineStr">
        <is>
          <t>NSA-037</t>
        </is>
      </c>
      <c r="B38" s="11" t="inlineStr">
        <is>
          <t>SpecialtyCare, Inc. et al. v. Health Care Service Corp. d/b/a BCBS Illinois</t>
        </is>
      </c>
      <c r="C38" s="12" t="n">
        <v>46175</v>
      </c>
      <c r="D38" s="11" t="inlineStr">
        <is>
          <t>Negative</t>
        </is>
      </c>
      <c r="E38" s="18" t="inlineStr">
        <is>
          <t>https://law.justia.com/cases/federal/district-courts/illinois/ilndce/1%3A2024cv12935/469834/73/</t>
        </is>
      </c>
      <c r="F38" s="11" t="inlineStr">
        <is>
          <t>Separate HCSC/BCBS Illinois case from the related BCBS Texas case.</t>
        </is>
      </c>
    </row>
    <row r="39" ht="31.5" customHeight="1" s="21">
      <c r="A39" s="11" t="inlineStr">
        <is>
          <t>NSA-038</t>
        </is>
      </c>
      <c r="B39" s="11" t="inlineStr">
        <is>
          <t>SpecialtyCare, Inc. et al. v. Health Care Service Corp. d/b/a BCBS Texas</t>
        </is>
      </c>
      <c r="C39" s="12" t="n">
        <v>46175</v>
      </c>
      <c r="D39" s="11" t="inlineStr">
        <is>
          <t>Negative</t>
        </is>
      </c>
      <c r="E39" s="18" t="inlineStr">
        <is>
          <t>https://law.justia.com/cases/federal/district-courts/illinois/ilndce/1%3A2024cv12945/469844/73/</t>
        </is>
      </c>
      <c r="F39" s="11" t="inlineStr">
        <is>
          <t>Court State is Illinois; Plan/Origin State is Texas.</t>
        </is>
      </c>
    </row>
    <row r="40" ht="31.5" customHeight="1" s="21">
      <c r="A40" s="11" t="inlineStr">
        <is>
          <t>NSA-039</t>
        </is>
      </c>
      <c r="B40" s="11" t="inlineStr">
        <is>
          <t>PHI Health, LLC v. Health Care Service Corp. d/b/a Blue Cross Blue Shield of Texas</t>
        </is>
      </c>
      <c r="C40" s="12" t="n">
        <v>46196</v>
      </c>
      <c r="D40" s="11" t="inlineStr">
        <is>
          <t>Negative</t>
        </is>
      </c>
      <c r="E40" s="18" t="inlineStr">
        <is>
          <t>https://law.justia.com/cases/federal/district-courts/illinois/ilndce/1%3A2025cv12406/487898/62/</t>
        </is>
      </c>
      <c r="F40" s="11" t="inlineStr">
        <is>
          <t>Court State is Illinois; underlying BCBS market is Texas.</t>
        </is>
      </c>
    </row>
    <row r="41" ht="31.5" customHeight="1" s="21">
      <c r="A41" s="11" t="inlineStr">
        <is>
          <t>NSA-040</t>
        </is>
      </c>
      <c r="B41" s="11" t="inlineStr">
        <is>
          <t>PHI Health, L.L.C. v. Custom Design Benefits, L.L.C.</t>
        </is>
      </c>
      <c r="C41" s="12" t="n">
        <v>46211</v>
      </c>
      <c r="D41" s="11" t="inlineStr">
        <is>
          <t>Negative</t>
        </is>
      </c>
      <c r="E41" s="18" t="inlineStr">
        <is>
          <t>https://law.justia.com/cases/ohio/first-district-court-of-appeals/2026/c-250606.html</t>
        </is>
      </c>
      <c r="F41" s="11" t="inlineStr">
        <is>
          <t>Significant published state appellate decision applying federal and state arbitration theories.</t>
        </is>
      </c>
    </row>
    <row r="42" ht="31.5" customHeight="1" s="21">
      <c r="A42" s="11" t="inlineStr">
        <is>
          <t>NSA-041</t>
        </is>
      </c>
      <c r="B42" s="11" t="inlineStr">
        <is>
          <t>SpecialtyCare, Inc. v. Kaiser Foundation Health Plan</t>
        </is>
      </c>
      <c r="C42" s="12" t="n">
        <v>46218</v>
      </c>
      <c r="D42" s="11" t="inlineStr">
        <is>
          <t>Negative</t>
        </is>
      </c>
      <c r="E42" s="18" t="inlineStr">
        <is>
          <t>https://law.justia.com/cases/federal/district-courts/california/candce/4%3A2024cv09342/441763/82/</t>
        </is>
      </c>
      <c r="F42" s="11" t="inlineStr">
        <is>
          <t>Code as negative for federal NSA enforcement; state-law claim posture was not identical.</t>
        </is>
      </c>
    </row>
    <row r="43" ht="31.5" customHeight="1" s="21">
      <c r="A43" s="11" t="inlineStr">
        <is>
          <t>NSA-042</t>
        </is>
      </c>
      <c r="B43" s="11" t="inlineStr">
        <is>
          <t>Shareef Jandali Plastic Surgery, LLC v. Cigna Health and Life Insurance Co.</t>
        </is>
      </c>
      <c r="C43" s="12" t="n">
        <v>46224</v>
      </c>
      <c r="D43" s="11" t="inlineStr">
        <is>
          <t>Positive</t>
        </is>
      </c>
      <c r="E43" s="18" t="inlineStr">
        <is>
          <t>https://docs.justia.com/cases/federal/district-courts/connecticut/ctdce/3%3A2025cv01168/166001/36</t>
        </is>
      </c>
      <c r="F43" s="11" t="inlineStr">
        <is>
          <t>Strong positive district outcome, but appellate status and later Second Circuit authority should be displayed.</t>
        </is>
      </c>
    </row>
    <row r="44" ht="31.5" customHeight="1" s="21">
      <c r="A44" s="11" t="inlineStr">
        <is>
          <t>NSA-043</t>
        </is>
      </c>
      <c r="B44" s="11" t="inlineStr">
        <is>
          <t>PHI Health, LLC v. Health Care Service Corp.</t>
        </is>
      </c>
      <c r="C44" s="12" t="n">
        <v>46239</v>
      </c>
      <c r="D44" s="11" t="inlineStr">
        <is>
          <t>Negative</t>
        </is>
      </c>
      <c r="E44" s="18" t="inlineStr">
        <is>
          <t>https://docs.justia.com/cases/federal/district-courts/illinois/ilndce/1%3A2026cv02954/497142/42</t>
        </is>
      </c>
      <c r="F44" s="11" t="inlineStr">
        <is>
          <t>Litigation tracker reports appeal filed; keep appellate status updated.</t>
        </is>
      </c>
    </row>
    <row r="45" ht="45" customHeight="1" s="21">
      <c r="A45" s="11" t="inlineStr">
        <is>
          <t>NSA-044</t>
        </is>
      </c>
      <c r="B45" s="11" t="inlineStr">
        <is>
          <t>Savalia v. Anthem Blue Cross Life &amp; Health Insurance Co.</t>
        </is>
      </c>
      <c r="C45" s="12" t="n">
        <v>46268</v>
      </c>
      <c r="D45" s="11" t="inlineStr">
        <is>
          <t>Negative</t>
        </is>
      </c>
      <c r="E45" s="18" t="inlineStr">
        <is>
          <t>https://law.justia.com/cases/federal/district-courts/california/candce/5%3A2026cv04326/469823/41/</t>
        </is>
      </c>
      <c r="F45" s="11" t="inlineStr">
        <is>
          <t>Primary opinion was identified through citation in California Spine; source URL points to subsequent decision quoting Savalia. Verify direct docket link before public publication.</t>
        </is>
      </c>
    </row>
    <row r="46" ht="31.5" customHeight="1" s="21">
      <c r="A46" s="11" t="inlineStr">
        <is>
          <t>NSA-045</t>
        </is>
      </c>
      <c r="B46" s="11" t="inlineStr">
        <is>
          <t>East Coast Advanced Plastic Surgery, LLC v. Cigna Health and Life Insurance Co.</t>
        </is>
      </c>
      <c r="C46" s="12" t="n">
        <v>46282</v>
      </c>
      <c r="D46" s="11" t="inlineStr">
        <is>
          <t>Negative</t>
        </is>
      </c>
      <c r="E46" s="18" t="inlineStr">
        <is>
          <t>https://law.justia.com/cases/federal/appellate-courts/ca2/25-2204/25-2204-2026-09-17.html</t>
        </is>
      </c>
      <c r="F46" s="11" t="inlineStr">
        <is>
          <t>Controlling authority for NY/CT/VT; directly impacts contrary Connecticut district decisions.</t>
        </is>
      </c>
    </row>
    <row r="47" ht="31.5" customHeight="1" s="21">
      <c r="A47" s="11" t="inlineStr">
        <is>
          <t>NSA-046</t>
        </is>
      </c>
      <c r="B47" s="11" t="inlineStr">
        <is>
          <t>California Spine and Neurosurgery Institute d/b/a San Jose Neurospine v. Microsoft Corp. et al.</t>
        </is>
      </c>
      <c r="C47" s="12" t="n">
        <v>46288</v>
      </c>
      <c r="D47" s="11" t="inlineStr">
        <is>
          <t>Negative</t>
        </is>
      </c>
      <c r="E47" s="18" t="inlineStr">
        <is>
          <t>https://law.justia.com/cases/federal/district-courts/california/candce/5%3A2026cv04326/469823/41/</t>
        </is>
      </c>
      <c r="F47" s="11" t="inlineStr">
        <is>
          <t>One of the most recent public enforcement decisions as of workbook date.</t>
        </is>
      </c>
    </row>
    <row r="48" ht="30" customHeight="1" s="21">
      <c r="A48" s="11" t="inlineStr">
        <is>
          <t>NSA-047</t>
        </is>
      </c>
      <c r="B48" s="11" t="inlineStr">
        <is>
          <t>AA Med., P.C. v. Aetna Life Insurance Co.</t>
        </is>
      </c>
      <c r="C48" s="12" t="n">
        <v>46259</v>
      </c>
      <c r="D48" s="11" t="inlineStr">
        <is>
          <t>Negative</t>
        </is>
      </c>
      <c r="E48" s="8" t="inlineStr">
        <is>
          <t>https://www.nycourts.gov/reporter/current/3dseries/2026/2026_26143.shtml</t>
        </is>
      </c>
      <c r="F48" s="11" t="inlineStr">
        <is>
          <t>Official New York State Law Reporting Bureau opinion; state-trial dismissal of post-IDR payment/enforcement claims.</t>
        </is>
      </c>
    </row>
    <row r="49" ht="28.8" customHeight="1" s="21">
      <c r="A49" s="11" t="inlineStr">
        <is>
          <t>NSA-048</t>
        </is>
      </c>
      <c r="B49" s="11" t="inlineStr">
        <is>
          <t>Shareef Jandali Plastic Surgery, LLC v. Cigna Health and Life Insurance Co.</t>
        </is>
      </c>
      <c r="C49" s="12" t="n">
        <v>46224</v>
      </c>
      <c r="D49" s="11" t="inlineStr">
        <is>
          <t>Positive</t>
        </is>
      </c>
      <c r="E49" s="8" t="inlineStr">
        <is>
          <t>https://www.govinfo.gov/content/pkg/USCOURTS-ctd-3_25-cv-01367/pdf/USCOURTS-ctd-3_25-cv-01367-0.pdf</t>
        </is>
      </c>
      <c r="F49" s="11" t="inlineStr">
        <is>
          <t>Added 2026-10-16 from an internal review of 2026-10-12.</t>
        </is>
      </c>
    </row>
    <row r="50" ht="28.8" customHeight="1" s="21">
      <c r="A50" s="11" t="inlineStr">
        <is>
          <t>NSA-053</t>
        </is>
      </c>
      <c r="B50" s="11" t="inlineStr">
        <is>
          <t>Worldwide Aircraft Services, Inc. v. Aetna Life Insurance Company</t>
        </is>
      </c>
      <c r="C50" s="12" t="n">
        <v>45882</v>
      </c>
      <c r="D50" s="11" t="inlineStr">
        <is>
          <t>Negative</t>
        </is>
      </c>
      <c r="E50" s="8" t="inlineStr">
        <is>
          <t>https://www.courtlistener.com/docket/70253986/worldwide-aircraft-services-inc-v-aetna-life-insurance-company/</t>
        </is>
      </c>
      <c r="F50" s="11" t="inlineStr">
        <is>
          <t>Added 2026-10-16 from an internal review of 2026-10-12.</t>
        </is>
      </c>
    </row>
    <row r="51" ht="15.6" customHeight="1" s="21">
      <c r="A51" s="11" t="inlineStr">
        <is>
          <t>NSA-054</t>
        </is>
      </c>
      <c r="B51" s="11" t="inlineStr">
        <is>
          <t>Worldwide Aircraft Services, Inc. v. United Healthcare</t>
        </is>
      </c>
      <c r="C51" s="12" t="n">
        <v>45989</v>
      </c>
      <c r="D51" s="11" t="inlineStr">
        <is>
          <t>Negative</t>
        </is>
      </c>
      <c r="E51" s="8" t="inlineStr">
        <is>
          <t>https://storage.courtlistener.com/recap/gov.uscourts.flmd.433869/gov.uscourts.flmd.433869.49.0.pdf</t>
        </is>
      </c>
      <c r="F51" s="11" t="inlineStr">
        <is>
          <t>Added 2026-10-16 from an internal review of 2026-10-12.</t>
        </is>
      </c>
    </row>
    <row r="52" ht="15.6" customHeight="1" s="21">
      <c r="A52" s="11" t="inlineStr">
        <is>
          <t>NSA-055</t>
        </is>
      </c>
      <c r="B52" s="11" t="inlineStr">
        <is>
          <t>SpecialtyCare, Inc. et al. v. Aetna, Inc.</t>
        </is>
      </c>
      <c r="C52" s="12" t="n">
        <v>46014</v>
      </c>
      <c r="D52" s="11" t="inlineStr">
        <is>
          <t>Negative</t>
        </is>
      </c>
      <c r="E52" s="8" t="inlineStr">
        <is>
          <t>https://storage.courtlistener.com/recap/gov.uscourts.pamd.145493/gov.uscourts.pamd.145493.44.0.pdf</t>
        </is>
      </c>
      <c r="F52" s="11" t="inlineStr">
        <is>
          <t>Added 2026-10-16 from an internal review of 2026-10-12.</t>
        </is>
      </c>
    </row>
    <row r="53" ht="15.6" customHeight="1" s="21">
      <c r="A53" s="11" t="inlineStr">
        <is>
          <t>NSA-056</t>
        </is>
      </c>
      <c r="B53" s="11" t="inlineStr">
        <is>
          <t>Worldwide Aircraft Services, Inc. v. United Healthcare</t>
        </is>
      </c>
      <c r="C53" s="12" t="n">
        <v>46066</v>
      </c>
      <c r="D53" s="11" t="inlineStr">
        <is>
          <t>Negative</t>
        </is>
      </c>
      <c r="E53" s="8" t="inlineStr">
        <is>
          <t>https://storage.courtlistener.com/recap/gov.uscourts.flmd.441824/gov.uscourts.flmd.441824.17.0.pdf</t>
        </is>
      </c>
      <c r="F53" s="11" t="inlineStr">
        <is>
          <t>Added 2026-10-16 from an internal review of 2026-10-12.</t>
        </is>
      </c>
    </row>
    <row r="54" ht="28.8" customHeight="1" s="21">
      <c r="A54" s="11" t="inlineStr">
        <is>
          <t>NSA-057</t>
        </is>
      </c>
      <c r="B54" s="11" t="inlineStr">
        <is>
          <t>SpecialtyCare, Inc. et al. v. Health Care Service Corp. d/b/a BCBS New Mexico</t>
        </is>
      </c>
      <c r="C54" s="12" t="n">
        <v>46175</v>
      </c>
      <c r="D54" s="11" t="inlineStr">
        <is>
          <t>Negative</t>
        </is>
      </c>
      <c r="E54" s="8" t="inlineStr">
        <is>
          <t>https://storage.courtlistener.com/recap/gov.uscourts.ilnd.469803/gov.uscourts.ilnd.469803.77.0.pdf</t>
        </is>
      </c>
      <c r="F54" s="11" t="inlineStr">
        <is>
          <t>Added 2026-10-16 from an internal review of 2026-10-12.</t>
        </is>
      </c>
    </row>
    <row r="55" ht="28.8" customHeight="1" s="21">
      <c r="A55" s="11" t="inlineStr">
        <is>
          <t>NSA-058</t>
        </is>
      </c>
      <c r="B55" s="11" t="inlineStr">
        <is>
          <t>Northeast Plastic Surgery Center, LLC v. Cigna Health and Life Insurance Company</t>
        </is>
      </c>
      <c r="C55" s="12" t="n">
        <v>46224</v>
      </c>
      <c r="D55" s="11" t="inlineStr">
        <is>
          <t>Positive</t>
        </is>
      </c>
      <c r="E55" s="8" t="inlineStr">
        <is>
          <t>https://storage.courtlistener.com/recap/gov.uscourts.ctd.166725/gov.uscourts.ctd.166725.25.0.pdf</t>
        </is>
      </c>
      <c r="F55" s="11" t="inlineStr">
        <is>
          <t>Added 2026-10-16 from an internal review of 2026-10-12.</t>
        </is>
      </c>
    </row>
    <row r="56" ht="28.8" customHeight="1" s="21">
      <c r="A56" s="11" t="inlineStr">
        <is>
          <t>NSA-059</t>
        </is>
      </c>
      <c r="B56" s="11" t="inlineStr">
        <is>
          <t>New England PA, LLC v. Cigna Health and Life Insurance Company</t>
        </is>
      </c>
      <c r="C56" s="12" t="n">
        <v>46224</v>
      </c>
      <c r="D56" s="11" t="inlineStr">
        <is>
          <t>Positive</t>
        </is>
      </c>
      <c r="E56" s="8" t="inlineStr">
        <is>
          <t>https://storage.courtlistener.com/recap/gov.uscourts.ctd.166721/gov.uscourts.ctd.166721.25.0.pdf</t>
        </is>
      </c>
      <c r="F56" s="11" t="inlineStr">
        <is>
          <t>Added 2026-10-16 from an internal review of 2026-10-12.</t>
        </is>
      </c>
    </row>
    <row r="57" ht="15.6" customHeight="1" s="21">
      <c r="A57" s="11" t="inlineStr">
        <is>
          <t>NSA-060</t>
        </is>
      </c>
      <c r="B57" s="11" t="inlineStr">
        <is>
          <t>Jeffrey Farkas, M.D., LLC v. Aetna Life Insurance Company</t>
        </is>
      </c>
      <c r="C57" s="12" t="n">
        <v>46267</v>
      </c>
      <c r="D57" s="11" t="inlineStr">
        <is>
          <t>Negative</t>
        </is>
      </c>
      <c r="E57" s="8" t="inlineStr">
        <is>
          <t>https://storage.courtlistener.com/recap/gov.uscourts.nyed.549569/gov.uscourts.nyed.549569.14.0.pdf</t>
        </is>
      </c>
      <c r="F57" s="11" t="inlineStr">
        <is>
          <t>Added 2026-10-16 from an internal review of 2026-10-12.</t>
        </is>
      </c>
    </row>
  </sheetData>
  <autoFilter ref="A1:F48"/>
  <hyperlinks>
    <hyperlink xmlns:r="http://schemas.openxmlformats.org/officeDocument/2006/relationships" ref="E48"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6"/>
  <sheetViews>
    <sheetView showGridLines="0" workbookViewId="0">
      <pane ySplit="1" topLeftCell="A2" activePane="bottomLeft" state="frozen"/>
      <selection pane="bottomLeft" activeCell="A1" sqref="A1"/>
    </sheetView>
  </sheetViews>
  <sheetFormatPr baseColWidth="8" defaultRowHeight="14.4"/>
  <cols>
    <col width="42" customWidth="1" style="21" min="1" max="1"/>
    <col width="38" customWidth="1" style="21" min="2" max="3"/>
    <col width="43" customWidth="1" style="21" min="4" max="4"/>
    <col width="18" customWidth="1" style="21" min="5" max="5"/>
    <col width="10" customWidth="1" style="21" min="6" max="6"/>
    <col width="12" customWidth="1" style="21" min="7" max="7"/>
    <col width="14" customWidth="1" style="21" min="8" max="8"/>
    <col width="18" customWidth="1" style="21" min="9" max="9"/>
    <col width="58" customWidth="1" style="21" min="10" max="10"/>
    <col width="55" customWidth="1" style="21" min="11" max="11"/>
  </cols>
  <sheetData>
    <row r="1" ht="30" customHeight="1" s="21">
      <c r="A1" s="19" t="inlineStr">
        <is>
          <t>Case Name</t>
        </is>
      </c>
      <c r="B1" s="19" t="inlineStr">
        <is>
          <t>Provider / Claimant</t>
        </is>
      </c>
      <c r="C1" s="19" t="inlineStr">
        <is>
          <t>Payor / Defendant</t>
        </is>
      </c>
      <c r="D1" s="19" t="inlineStr">
        <is>
          <t>Court</t>
        </is>
      </c>
      <c r="E1" s="19" t="inlineStr">
        <is>
          <t>Court Level</t>
        </is>
      </c>
      <c r="F1" s="19" t="inlineStr">
        <is>
          <t>Circuit</t>
        </is>
      </c>
      <c r="G1" s="19" t="inlineStr">
        <is>
          <t>Court State</t>
        </is>
      </c>
      <c r="H1" s="19" t="inlineStr">
        <is>
          <t>Date Filed</t>
        </is>
      </c>
      <c r="I1" s="19" t="inlineStr">
        <is>
          <t>Docket No.</t>
        </is>
      </c>
      <c r="J1" s="19" t="inlineStr">
        <is>
          <t>Status</t>
        </is>
      </c>
      <c r="K1" s="19" t="inlineStr">
        <is>
          <t>Source URL</t>
        </is>
      </c>
    </row>
    <row r="2" ht="42" customHeight="1" s="21">
      <c r="A2" s="11" t="inlineStr">
        <is>
          <t>Advanced Monitoring Services Holdings, LLC v. Blue Cross Blue Shield of Oklahoma</t>
        </is>
      </c>
      <c r="B2" s="11" t="inlineStr">
        <is>
          <t>Advanced Monitoring Services Holdings, LLC</t>
        </is>
      </c>
      <c r="C2" s="11" t="inlineStr">
        <is>
          <t>Blue Cross Blue Shield of Oklahoma</t>
        </is>
      </c>
      <c r="D2" s="11" t="inlineStr">
        <is>
          <t>U.S. District Court for the Northern District of Oklahoma</t>
        </is>
      </c>
      <c r="E2" s="11" t="inlineStr">
        <is>
          <t>Federal District</t>
        </is>
      </c>
      <c r="F2" s="11" t="inlineStr">
        <is>
          <t>10th</t>
        </is>
      </c>
      <c r="G2" s="11" t="inlineStr">
        <is>
          <t>OK</t>
        </is>
      </c>
      <c r="H2" s="12" t="n">
        <v>45902</v>
      </c>
      <c r="I2" s="11" t="inlineStr">
        <is>
          <t>4:2025cv00466</t>
        </is>
      </c>
      <c r="J2" s="11" t="inlineStr">
        <is>
          <t>Pending — magistrate R&amp;R dated May 14, 2026 recommends dismissal; no final district-court disposition located through 9/30/2026.</t>
        </is>
      </c>
      <c r="K2" s="8" t="inlineStr">
        <is>
          <t>https://dockets.justia.com/docket/oklahoma/okndce/4%3A2025cv00466/74048</t>
        </is>
      </c>
    </row>
    <row r="3" ht="42" customHeight="1" s="21">
      <c r="A3" s="11" t="inlineStr">
        <is>
          <t>North American Spine and Pain Institute v. Aetna Life Insurance Company</t>
        </is>
      </c>
      <c r="B3" s="11" t="inlineStr">
        <is>
          <t>North American Spine and Pain Institute</t>
        </is>
      </c>
      <c r="C3" s="11" t="inlineStr">
        <is>
          <t>Aetna Life Insurance Company</t>
        </is>
      </c>
      <c r="D3" s="11" t="inlineStr">
        <is>
          <t>U.S. District Court for the District of New Jersey</t>
        </is>
      </c>
      <c r="E3" s="11" t="inlineStr">
        <is>
          <t>Federal District</t>
        </is>
      </c>
      <c r="F3" s="11" t="inlineStr">
        <is>
          <t>3d</t>
        </is>
      </c>
      <c r="G3" s="11" t="inlineStr">
        <is>
          <t>NJ</t>
        </is>
      </c>
      <c r="H3" s="12" t="n">
        <v>46083</v>
      </c>
      <c r="I3" s="11" t="inlineStr">
        <is>
          <t>2:2026cv02175</t>
        </is>
      </c>
      <c r="J3" s="11" t="inlineStr">
        <is>
          <t>Pending — stayed and administratively terminated pending related-provider lead-case proceedings.</t>
        </is>
      </c>
      <c r="K3" s="8" t="inlineStr">
        <is>
          <t>https://dockets.justia.com/docket/new-jersey/njdce/2%3A2026cv02175/592707</t>
        </is>
      </c>
    </row>
    <row r="4" ht="42" customHeight="1" s="21">
      <c r="A4" s="11" t="inlineStr">
        <is>
          <t>Agag v. Cigna Health and Life Insurance Company</t>
        </is>
      </c>
      <c r="B4" s="11" t="inlineStr">
        <is>
          <t>Richard Agag, MD</t>
        </is>
      </c>
      <c r="C4" s="11" t="inlineStr">
        <is>
          <t>Cigna Health and Life Insurance Company</t>
        </is>
      </c>
      <c r="D4" s="11" t="inlineStr">
        <is>
          <t>U.S. Court of Appeals for the Second Circuit</t>
        </is>
      </c>
      <c r="E4" s="11" t="inlineStr">
        <is>
          <t>Federal Appellate</t>
        </is>
      </c>
      <c r="F4" s="11" t="inlineStr">
        <is>
          <t>2d</t>
        </is>
      </c>
      <c r="G4" s="11" t="inlineStr">
        <is>
          <t>CT</t>
        </is>
      </c>
      <c r="H4" s="12" t="n">
        <v>46148</v>
      </c>
      <c r="I4" s="11" t="inlineStr">
        <is>
          <t>26-1241</t>
        </is>
      </c>
      <c r="J4" s="11" t="inlineStr">
        <is>
          <t>Appeal pending — appeal from D. Conn. enforcement ruling.</t>
        </is>
      </c>
      <c r="K4" s="8" t="inlineStr">
        <is>
          <t>https://dockets.justia.com/docket/circuit-courts/ca2/26-1241</t>
        </is>
      </c>
    </row>
    <row r="5" ht="42" customHeight="1" s="21">
      <c r="A5" s="11" t="inlineStr">
        <is>
          <t>SpecialtyCare, Inc. et al. v. Health Care Service Corporation d/b/a Blue Cross Blue Shield of New Mexico</t>
        </is>
      </c>
      <c r="B5" s="11" t="inlineStr">
        <is>
          <t>SpecialtyCare, Inc.; Remote Neuromonitoring Physicians, PC; Sentient Physicians, PC</t>
        </is>
      </c>
      <c r="C5" s="11" t="inlineStr">
        <is>
          <t>Health Care Service Corporation d/b/a Blue Cross Blue Shield of New Mexico</t>
        </is>
      </c>
      <c r="D5" s="11" t="inlineStr">
        <is>
          <t>U.S. Court of Appeals for the Seventh Circuit</t>
        </is>
      </c>
      <c r="E5" s="11" t="inlineStr">
        <is>
          <t>Federal Appellate</t>
        </is>
      </c>
      <c r="F5" s="11" t="inlineStr">
        <is>
          <t>7th</t>
        </is>
      </c>
      <c r="G5" s="11" t="inlineStr">
        <is>
          <t>IL</t>
        </is>
      </c>
      <c r="H5" s="12" t="n">
        <v>46185</v>
      </c>
      <c r="I5" s="11" t="inlineStr">
        <is>
          <t>26-2269</t>
        </is>
      </c>
      <c r="J5" s="11" t="inlineStr">
        <is>
          <t>Appeal pending — consolidated for briefing and disposition with related HCSC enforcement appeals.</t>
        </is>
      </c>
      <c r="K5" s="8" t="inlineStr">
        <is>
          <t>https://dockets.justia.com/docket/circuit-courts/ca7/26-2269</t>
        </is>
      </c>
    </row>
    <row r="6" ht="42" customHeight="1" s="21">
      <c r="A6" s="11" t="inlineStr">
        <is>
          <t>SpecialtyCare, Inc. et al. v. Health Care Service Corporation d/b/a Blue Cross Blue Shield of Illinois</t>
        </is>
      </c>
      <c r="B6" s="11" t="inlineStr">
        <is>
          <t>SpecialtyCare, Inc.; Remote Neuromonitoring Physicians, PC; Sentient Physicians, PC</t>
        </is>
      </c>
      <c r="C6" s="11" t="inlineStr">
        <is>
          <t>Health Care Service Corporation d/b/a Blue Cross Blue Shield of Illinois</t>
        </is>
      </c>
      <c r="D6" s="11" t="inlineStr">
        <is>
          <t>U.S. Court of Appeals for the Seventh Circuit</t>
        </is>
      </c>
      <c r="E6" s="11" t="inlineStr">
        <is>
          <t>Federal Appellate</t>
        </is>
      </c>
      <c r="F6" s="11" t="inlineStr">
        <is>
          <t>7th</t>
        </is>
      </c>
      <c r="G6" s="11" t="inlineStr">
        <is>
          <t>IL</t>
        </is>
      </c>
      <c r="H6" s="12" t="n">
        <v>46188</v>
      </c>
      <c r="I6" s="11" t="inlineStr">
        <is>
          <t>26-2279</t>
        </is>
      </c>
      <c r="J6" s="11" t="inlineStr">
        <is>
          <t>Appeal pending — consolidated for briefing and disposition with related HCSC enforcement appeals.</t>
        </is>
      </c>
      <c r="K6" s="8" t="inlineStr">
        <is>
          <t>https://dockets.justia.com/docket/circuit-courts/ca7/26-2279</t>
        </is>
      </c>
    </row>
    <row r="7" ht="42" customHeight="1" s="21">
      <c r="A7" s="11" t="inlineStr">
        <is>
          <t>SpecialtyCare, Inc. et al. v. Health Care Service Corporation d/b/a Blue Cross Blue Shield of Texas</t>
        </is>
      </c>
      <c r="B7" s="11" t="inlineStr">
        <is>
          <t>SpecialtyCare, Inc.; Remote Neuromonitoring Physicians, PC; Sentient Physicians, PC</t>
        </is>
      </c>
      <c r="C7" s="11" t="inlineStr">
        <is>
          <t>Health Care Service Corporation d/b/a Blue Cross Blue Shield of Texas</t>
        </is>
      </c>
      <c r="D7" s="11" t="inlineStr">
        <is>
          <t>U.S. Court of Appeals for the Seventh Circuit</t>
        </is>
      </c>
      <c r="E7" s="11" t="inlineStr">
        <is>
          <t>Federal Appellate</t>
        </is>
      </c>
      <c r="F7" s="11" t="inlineStr">
        <is>
          <t>7th</t>
        </is>
      </c>
      <c r="G7" s="11" t="inlineStr">
        <is>
          <t>IL</t>
        </is>
      </c>
      <c r="H7" s="12" t="n">
        <v>46188</v>
      </c>
      <c r="I7" s="11" t="inlineStr">
        <is>
          <t>26-2280</t>
        </is>
      </c>
      <c r="J7" s="11" t="inlineStr">
        <is>
          <t>Appeal pending — consolidated for briefing and disposition with related HCSC enforcement appeals.</t>
        </is>
      </c>
      <c r="K7" s="8" t="inlineStr">
        <is>
          <t>https://dockets.justia.com/docket/circuit-courts/ca7/26-2280</t>
        </is>
      </c>
    </row>
    <row r="8" ht="42" customHeight="1" s="21">
      <c r="A8" s="11" t="inlineStr">
        <is>
          <t>North American Spine and Pain Institute v. Aetna Life Insurance Company</t>
        </is>
      </c>
      <c r="B8" s="11" t="inlineStr">
        <is>
          <t>North American Spine and Pain Institute</t>
        </is>
      </c>
      <c r="C8" s="11" t="inlineStr">
        <is>
          <t>Aetna Life Insurance Company</t>
        </is>
      </c>
      <c r="D8" s="11" t="inlineStr">
        <is>
          <t>U.S. District Court for the District of New Jersey</t>
        </is>
      </c>
      <c r="E8" s="11" t="inlineStr">
        <is>
          <t>Federal District</t>
        </is>
      </c>
      <c r="F8" s="11" t="inlineStr">
        <is>
          <t>3d</t>
        </is>
      </c>
      <c r="G8" s="11" t="inlineStr">
        <is>
          <t>NJ</t>
        </is>
      </c>
      <c r="H8" s="12" t="n">
        <v>46204</v>
      </c>
      <c r="I8" s="11" t="inlineStr">
        <is>
          <t>2:2026cv08006</t>
        </is>
      </c>
      <c r="J8" s="11" t="inlineStr">
        <is>
          <t>Pending — removed from New Jersey Superior Court; no merits disposition located through 9/30/2026.</t>
        </is>
      </c>
      <c r="K8" s="8" t="inlineStr">
        <is>
          <t>https://dockets.justia.com/docket/new-jersey/njdce/2%3A2026cv08006/602127</t>
        </is>
      </c>
    </row>
    <row r="9" ht="42" customHeight="1" s="21">
      <c r="A9" s="11" t="inlineStr">
        <is>
          <t>PHI Health, LLC v. Health Care Service Corporation d/b/a Blue Cross Blue Shield of Texas</t>
        </is>
      </c>
      <c r="B9" s="11" t="inlineStr">
        <is>
          <t>PHI Health, LLC</t>
        </is>
      </c>
      <c r="C9" s="11" t="inlineStr">
        <is>
          <t>Health Care Service Corporation d/b/a Blue Cross Blue Shield of Texas</t>
        </is>
      </c>
      <c r="D9" s="11" t="inlineStr">
        <is>
          <t>U.S. Court of Appeals for the Seventh Circuit</t>
        </is>
      </c>
      <c r="E9" s="11" t="inlineStr">
        <is>
          <t>Federal Appellate</t>
        </is>
      </c>
      <c r="F9" s="11" t="inlineStr">
        <is>
          <t>7th</t>
        </is>
      </c>
      <c r="G9" s="11" t="inlineStr">
        <is>
          <t>IL</t>
        </is>
      </c>
      <c r="H9" s="12" t="n">
        <v>46205</v>
      </c>
      <c r="I9" s="11" t="inlineStr">
        <is>
          <t>26-2401</t>
        </is>
      </c>
      <c r="J9" s="11" t="inlineStr">
        <is>
          <t>Appeal pending — consolidated with related HCSC enforcement appeals; briefing ongoing.</t>
        </is>
      </c>
      <c r="K9" s="8" t="inlineStr">
        <is>
          <t>https://dockets.justia.com/docket/circuit-courts/ca7/26-2401</t>
        </is>
      </c>
    </row>
    <row r="10" ht="42" customHeight="1" s="21">
      <c r="A10" s="11" t="inlineStr">
        <is>
          <t>Shareef Jandali Plastic Surgery, LLC v. Cigna Health and Life Insurance Company</t>
        </is>
      </c>
      <c r="B10" s="11" t="inlineStr">
        <is>
          <t>Shareef Jandali Plastic Surgery, LLC</t>
        </is>
      </c>
      <c r="C10" s="11" t="inlineStr">
        <is>
          <t>Cigna Health and Life Insurance Company</t>
        </is>
      </c>
      <c r="D10" s="11" t="inlineStr">
        <is>
          <t>U.S. Court of Appeals for the Second Circuit</t>
        </is>
      </c>
      <c r="E10" s="11" t="inlineStr">
        <is>
          <t>Federal Appellate</t>
        </is>
      </c>
      <c r="F10" s="11" t="inlineStr">
        <is>
          <t>2d</t>
        </is>
      </c>
      <c r="G10" s="11" t="inlineStr">
        <is>
          <t>CT</t>
        </is>
      </c>
      <c r="H10" s="12" t="n">
        <v>46248</v>
      </c>
      <c r="I10" s="11" t="inlineStr">
        <is>
          <t>26-2287</t>
        </is>
      </c>
      <c r="J10" s="11" t="inlineStr">
        <is>
          <t>Appeal pending — Cigna appeal from D. Conn. judgment confirming NSA IDR award.</t>
        </is>
      </c>
      <c r="K10" s="8" t="inlineStr">
        <is>
          <t>https://dockets.justia.com/docket/circuit-courts/ca2/26-2287</t>
        </is>
      </c>
    </row>
    <row r="11" ht="42" customHeight="1" s="21">
      <c r="A11" s="11" t="inlineStr">
        <is>
          <t>Shareef Jandali Plastic Surgery, LLC v. Cigna Health and Life Insurance Company</t>
        </is>
      </c>
      <c r="B11" s="11" t="inlineStr">
        <is>
          <t>Shareef Jandali Plastic Surgery, LLC</t>
        </is>
      </c>
      <c r="C11" s="11" t="inlineStr">
        <is>
          <t>Cigna Health and Life Insurance Company</t>
        </is>
      </c>
      <c r="D11" s="11" t="inlineStr">
        <is>
          <t>U.S. Court of Appeals for the Second Circuit</t>
        </is>
      </c>
      <c r="E11" s="11" t="inlineStr">
        <is>
          <t>Federal Appellate</t>
        </is>
      </c>
      <c r="F11" s="11" t="inlineStr">
        <is>
          <t>2d</t>
        </is>
      </c>
      <c r="G11" s="11" t="inlineStr">
        <is>
          <t>CT</t>
        </is>
      </c>
      <c r="H11" s="12" t="n">
        <v>46251</v>
      </c>
      <c r="I11" s="11" t="inlineStr">
        <is>
          <t>26-2291</t>
        </is>
      </c>
      <c r="J11" s="11" t="inlineStr">
        <is>
          <t>Related appeal pending from the same D. Conn. enforcement judgment.</t>
        </is>
      </c>
      <c r="K11" s="8" t="inlineStr">
        <is>
          <t>https://dockets.justia.com/docket/circuit-courts/ca2/26-2291</t>
        </is>
      </c>
    </row>
    <row r="12" ht="42" customHeight="1" s="21">
      <c r="A12" s="11" t="inlineStr">
        <is>
          <t>PHI Health, LLC v. Health Care Services Corp.</t>
        </is>
      </c>
      <c r="B12" s="11" t="inlineStr">
        <is>
          <t>PHI Health, LLC</t>
        </is>
      </c>
      <c r="C12" s="11" t="inlineStr">
        <is>
          <t>Health Care Services Corp. d/b/a Blue Cross Blue Shield</t>
        </is>
      </c>
      <c r="D12" s="11" t="inlineStr">
        <is>
          <t>U.S. Court of Appeals for the Seventh Circuit</t>
        </is>
      </c>
      <c r="E12" s="11" t="inlineStr">
        <is>
          <t>Federal Appellate</t>
        </is>
      </c>
      <c r="F12" s="11" t="inlineStr">
        <is>
          <t>7th</t>
        </is>
      </c>
      <c r="G12" s="11" t="inlineStr">
        <is>
          <t>IL</t>
        </is>
      </c>
      <c r="H12" s="12" t="n">
        <v>46258</v>
      </c>
      <c r="I12" s="11" t="inlineStr">
        <is>
          <t>26-2736</t>
        </is>
      </c>
      <c r="J12" s="11" t="inlineStr">
        <is>
          <t>Appeal pending — consolidated with related HCSC enforcement appeals by order dated August 27, 2026.</t>
        </is>
      </c>
      <c r="K12" s="8" t="inlineStr">
        <is>
          <t>https://dockets.justia.com/docket/circuit-courts/ca7/26-2736</t>
        </is>
      </c>
    </row>
    <row r="13" ht="28.8" customHeight="1" s="21">
      <c r="A13" s="11" t="inlineStr">
        <is>
          <t>SpecialtyCare, Inc. v. Kaiser Foundation Health Plan, Inc. (appeal of NSA-041)</t>
        </is>
      </c>
      <c r="B13" s="11" t="inlineStr">
        <is>
          <t>SpecialtyCare, Inc.</t>
        </is>
      </c>
      <c r="C13" s="11" t="inlineStr">
        <is>
          <t>Kaiser Foundation Health Plan, Inc.</t>
        </is>
      </c>
      <c r="D13" s="11" t="inlineStr">
        <is>
          <t>U.S. Court of Appeals for the Ninth Circuit</t>
        </is>
      </c>
      <c r="E13" s="11" t="inlineStr">
        <is>
          <t>Federal Appellate</t>
        </is>
      </c>
      <c r="F13" s="11" t="inlineStr">
        <is>
          <t>9th</t>
        </is>
      </c>
      <c r="G13" s="11" t="inlineStr">
        <is>
          <t>CA</t>
        </is>
      </c>
      <c r="H13" s="12" t="n">
        <v>46225</v>
      </c>
      <c r="I13" s="11" t="n"/>
      <c r="J13" s="11" t="inlineStr">
        <is>
          <t>Appeal pending — providers' appeal from N.D. Cal. dismissal (NSA-041); appeal docket number not yet confirmed.</t>
        </is>
      </c>
      <c r="K13" s="8" t="inlineStr">
        <is>
          <t>https://www.courtlistener.com/docket/69494254/specialtycare-inc-v-kaiser-foundation-health-plan-inc/</t>
        </is>
      </c>
    </row>
    <row r="14" ht="28.8" customHeight="1" s="21">
      <c r="A14" s="11" t="inlineStr">
        <is>
          <t>Worldwide Aircraft Services, Inc. d/b/a Jet ICU v. Freedom Life Insurance Co. (appeal of NSA-019)</t>
        </is>
      </c>
      <c r="B14" s="11" t="inlineStr">
        <is>
          <t>Jet ICU</t>
        </is>
      </c>
      <c r="C14" s="11" t="inlineStr">
        <is>
          <t>Freedom Life Insurance Co.</t>
        </is>
      </c>
      <c r="D14" s="11" t="inlineStr">
        <is>
          <t>U.S. Court of Appeals for the Eleventh Circuit</t>
        </is>
      </c>
      <c r="E14" s="11" t="inlineStr">
        <is>
          <t>Federal Appellate</t>
        </is>
      </c>
      <c r="F14" s="11" t="inlineStr">
        <is>
          <t>11th</t>
        </is>
      </c>
      <c r="G14" s="11" t="inlineStr">
        <is>
          <t>FL</t>
        </is>
      </c>
      <c r="H14" s="12" t="n">
        <v>46027</v>
      </c>
      <c r="I14" s="11" t="n"/>
      <c r="J14" s="11" t="inlineStr">
        <is>
          <t>Appeal pending — provider's appeal from M.D. Fla. dismissal (NSA-019); district case stayed; appeal docket number not yet confirmed.</t>
        </is>
      </c>
      <c r="K14" s="8" t="inlineStr">
        <is>
          <t>https://www.courtlistener.com/docket/70160339/worldwide-aircraft-services-inc-v-freedom-life-insurance-company-of/</t>
        </is>
      </c>
    </row>
    <row r="15" ht="28.8" customHeight="1" s="21">
      <c r="A15" s="11" t="inlineStr">
        <is>
          <t>Worldwide Aircraft Services, Inc. v. Aetna Life Insurance Company (appeal of NSA-053)</t>
        </is>
      </c>
      <c r="B15" s="11" t="inlineStr">
        <is>
          <t>Jet ICU</t>
        </is>
      </c>
      <c r="C15" s="11" t="inlineStr">
        <is>
          <t>Aetna Life Insurance Company</t>
        </is>
      </c>
      <c r="D15" s="11" t="inlineStr">
        <is>
          <t>U.S. Court of Appeals for the Eleventh Circuit</t>
        </is>
      </c>
      <c r="E15" s="11" t="inlineStr">
        <is>
          <t>Federal Appellate</t>
        </is>
      </c>
      <c r="F15" s="11" t="inlineStr">
        <is>
          <t>11th</t>
        </is>
      </c>
      <c r="G15" s="11" t="inlineStr">
        <is>
          <t>FL</t>
        </is>
      </c>
      <c r="H15" s="12" t="n">
        <v>45910</v>
      </c>
      <c r="I15" s="11" t="n"/>
      <c r="J15" s="11" t="inlineStr">
        <is>
          <t>Appeal pending — provider's appeal from M.D. Fla. dismissal (NSA-053); appeal docket number not yet confirmed.</t>
        </is>
      </c>
      <c r="K15" s="8" t="inlineStr">
        <is>
          <t>https://www.courtlistener.com/docket/70253986/worldwide-aircraft-services-inc-v-aetna-life-insurance-company/</t>
        </is>
      </c>
    </row>
    <row r="16" ht="28.8" customHeight="1" s="21">
      <c r="A16" s="11" t="inlineStr">
        <is>
          <t>SpecialtyCare, Inc. et al. v. Aetna, Inc. (appeal of NSA-055)</t>
        </is>
      </c>
      <c r="B16" s="11" t="inlineStr">
        <is>
          <t>SpecialtyCare, Inc.</t>
        </is>
      </c>
      <c r="C16" s="11" t="inlineStr">
        <is>
          <t>Aetna, Inc.</t>
        </is>
      </c>
      <c r="D16" s="11" t="inlineStr">
        <is>
          <t>U.S. Court of Appeals for the Third Circuit</t>
        </is>
      </c>
      <c r="E16" s="11" t="inlineStr">
        <is>
          <t>Federal Appellate</t>
        </is>
      </c>
      <c r="F16" s="11" t="inlineStr">
        <is>
          <t>3d</t>
        </is>
      </c>
      <c r="G16" s="11" t="inlineStr">
        <is>
          <t>PA</t>
        </is>
      </c>
      <c r="H16" s="12" t="n">
        <v>46042</v>
      </c>
      <c r="I16" s="11" t="n"/>
      <c r="J16" s="11" t="inlineStr">
        <is>
          <t>Appeal pending — providers' appeal from M.D. Pa. judgment on the pleadings (NSA-055); appeal docket number not yet confirmed.</t>
        </is>
      </c>
      <c r="K16" s="8" t="inlineStr">
        <is>
          <t>https://www.courtlistener.com/docket/70294954/specialtycare-inc-v-aetna-inc/</t>
        </is>
      </c>
    </row>
  </sheetData>
  <autoFilter ref="A1:K12"/>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0"/>
  <sheetViews>
    <sheetView showGridLines="0" workbookViewId="0">
      <pane ySplit="1" topLeftCell="A2" activePane="bottomLeft" state="frozen"/>
      <selection pane="bottomLeft" activeCell="A1" sqref="A1"/>
    </sheetView>
  </sheetViews>
  <sheetFormatPr baseColWidth="8" defaultRowHeight="14.4"/>
  <cols>
    <col width="52" customWidth="1" style="21" min="1" max="1"/>
    <col width="34" customWidth="1" style="21" min="2" max="2"/>
    <col width="18" customWidth="1" style="21" min="3" max="3"/>
    <col width="14" customWidth="1" style="21" min="4" max="5"/>
    <col width="35" customWidth="1" style="21" min="6" max="6"/>
    <col width="80" customWidth="1" style="21" min="7" max="7"/>
    <col width="58" customWidth="1" style="21" min="8" max="8"/>
  </cols>
  <sheetData>
    <row r="1" ht="30" customHeight="1" s="21">
      <c r="A1" s="19" t="inlineStr">
        <is>
          <t>Title</t>
        </is>
      </c>
      <c r="B1" s="19" t="inlineStr">
        <is>
          <t>Agency</t>
        </is>
      </c>
      <c r="C1" s="19" t="inlineStr">
        <is>
          <t>Type</t>
        </is>
      </c>
      <c r="D1" s="19" t="inlineStr">
        <is>
          <t>Date Issued</t>
        </is>
      </c>
      <c r="E1" s="19" t="inlineStr">
        <is>
          <t>Effective Date</t>
        </is>
      </c>
      <c r="F1" s="19" t="inlineStr">
        <is>
          <t>Status</t>
        </is>
      </c>
      <c r="G1" s="19" t="inlineStr">
        <is>
          <t>Summary</t>
        </is>
      </c>
      <c r="H1" s="19" t="inlineStr">
        <is>
          <t>Source URL</t>
        </is>
      </c>
    </row>
    <row r="2" ht="60" customHeight="1" s="21">
      <c r="A2" s="11" t="inlineStr">
        <is>
          <t>Requirements Related to Surprise Billing; Part I</t>
        </is>
      </c>
      <c r="B2" s="11" t="inlineStr">
        <is>
          <t>DOL / HHS / Treasury / OPM</t>
        </is>
      </c>
      <c r="C2" s="11" t="inlineStr">
        <is>
          <t>Rule</t>
        </is>
      </c>
      <c r="D2" s="12" t="n">
        <v>44390</v>
      </c>
      <c r="E2" s="12" t="n">
        <v>44452</v>
      </c>
      <c r="F2" s="11" t="inlineStr">
        <is>
          <t>Partially superseded / finalized by later rules</t>
        </is>
      </c>
      <c r="G2" s="11" t="inlineStr">
        <is>
          <t>Interim final rule implementing major NSA protections and the QPA framework that later became central to IDR litigation.</t>
        </is>
      </c>
      <c r="H2" s="8" t="inlineStr">
        <is>
          <t>https://regulations.justia.com/regulations/fedreg/2021/07/13/2021-14379.html</t>
        </is>
      </c>
    </row>
    <row r="3" ht="60" customHeight="1" s="21">
      <c r="A3" s="11" t="inlineStr">
        <is>
          <t>Requirements Related to Surprise Billing; Part II</t>
        </is>
      </c>
      <c r="B3" s="11" t="inlineStr">
        <is>
          <t>DOL / HHS / Treasury / OPM</t>
        </is>
      </c>
      <c r="C3" s="11" t="inlineStr">
        <is>
          <t>Rule</t>
        </is>
      </c>
      <c r="D3" s="12" t="n">
        <v>44476</v>
      </c>
      <c r="E3" s="12" t="n">
        <v>44476</v>
      </c>
      <c r="F3" s="11" t="inlineStr">
        <is>
          <t>Portions vacated; later provisions finalized/revised</t>
        </is>
      </c>
      <c r="G3" s="11" t="inlineStr">
        <is>
          <t>Interim final rule establishing the federal IDR process and directing certified IDR entities how to consider the QPA and additional statutory factors.</t>
        </is>
      </c>
      <c r="H3" s="8" t="inlineStr">
        <is>
          <t>https://www.dol.gov/resource-library/requirements-related-surprise-billing-part-ii</t>
        </is>
      </c>
    </row>
    <row r="4" ht="60" customHeight="1" s="21">
      <c r="A4" s="11" t="inlineStr">
        <is>
          <t>Texas Medical Association v. HHS (TMA I)</t>
        </is>
      </c>
      <c r="B4" s="11" t="inlineStr">
        <is>
          <t>U.S. District Court, E.D. Texas</t>
        </is>
      </c>
      <c r="C4" s="11" t="inlineStr">
        <is>
          <t>Court Action</t>
        </is>
      </c>
      <c r="D4" s="12" t="n">
        <v>44615</v>
      </c>
      <c r="E4" s="12" t="n">
        <v>44615</v>
      </c>
      <c r="F4" s="11" t="inlineStr">
        <is>
          <t>Portions of 2021 IDR rule vacated</t>
        </is>
      </c>
      <c r="G4" s="11" t="inlineStr">
        <is>
          <t>Court vacated provisions that effectively gave the QPA presumptive or preferred weight in IDR payment determinations and found the rule inconsistent with the statute.</t>
        </is>
      </c>
      <c r="H4" s="8" t="inlineStr">
        <is>
          <t>https://law.justia.com/cases/federal/district-courts/texas/txedce/6%3A2021cv00425/211847/113/</t>
        </is>
      </c>
    </row>
    <row r="5" ht="60" customHeight="1" s="21">
      <c r="A5" s="11" t="inlineStr">
        <is>
          <t>LifeNet, Inc. v. HHS</t>
        </is>
      </c>
      <c r="B5" s="11" t="inlineStr">
        <is>
          <t>U.S. District Court, E.D. Texas</t>
        </is>
      </c>
      <c r="C5" s="11" t="inlineStr">
        <is>
          <t>Court Action</t>
        </is>
      </c>
      <c r="D5" s="12" t="n">
        <v>44768</v>
      </c>
      <c r="E5" s="12" t="n">
        <v>44768</v>
      </c>
      <c r="F5" s="11" t="inlineStr">
        <is>
          <t>Air-ambulance IDR provisions vacated</t>
        </is>
      </c>
      <c r="G5" s="11" t="inlineStr">
        <is>
          <t>Court applied the TMA reasoning to air-ambulance IDR and vacated parallel provisions that improperly constrained consideration of statutory factors.</t>
        </is>
      </c>
      <c r="H5" s="8" t="inlineStr">
        <is>
          <t>https://law.justia.com/cases/federal/district-courts/texas/txedce/6%3A2022cv00162/214240/40/</t>
        </is>
      </c>
    </row>
    <row r="6" ht="60" customHeight="1" s="21">
      <c r="A6" s="11" t="inlineStr">
        <is>
          <t>Requirements Related to Surprise Billing — Final Rules</t>
        </is>
      </c>
      <c r="B6" s="11" t="inlineStr">
        <is>
          <t>DOL / HHS / Treasury</t>
        </is>
      </c>
      <c r="C6" s="11" t="inlineStr">
        <is>
          <t>Rule</t>
        </is>
      </c>
      <c r="D6" s="12" t="n">
        <v>44799</v>
      </c>
      <c r="E6" s="12" t="n">
        <v>44859</v>
      </c>
      <c r="F6" s="11" t="inlineStr">
        <is>
          <t>Partially vacated by TMA II; remaining provisions operative unless superseded</t>
        </is>
      </c>
      <c r="G6" s="11" t="inlineStr">
        <is>
          <t>Final rule revised QPA disclosures and IDR decision standards after TMA I/LifeNet; required consideration of QPA and credible additional information without the earlier explicit presumption.</t>
        </is>
      </c>
      <c r="H6" s="8" t="inlineStr">
        <is>
          <t>https://www.govinfo.gov/content/pkg/FR-2022-08-26/pdf/FR-2022-08-26.pdf</t>
        </is>
      </c>
    </row>
    <row r="7" ht="60" customHeight="1" s="21">
      <c r="A7" s="11" t="inlineStr">
        <is>
          <t>Texas Medical Association v. HHS (TMA II)</t>
        </is>
      </c>
      <c r="B7" s="11" t="inlineStr">
        <is>
          <t>U.S. District Court, E.D. Texas</t>
        </is>
      </c>
      <c r="C7" s="11" t="inlineStr">
        <is>
          <t>Court Action</t>
        </is>
      </c>
      <c r="D7" s="12" t="n">
        <v>44963</v>
      </c>
      <c r="E7" s="12" t="n">
        <v>44963</v>
      </c>
      <c r="F7" s="11" t="inlineStr">
        <is>
          <t>Challenged portions of 2022 final rule vacated</t>
        </is>
      </c>
      <c r="G7" s="11" t="inlineStr">
        <is>
          <t>Court held that the 2022 rule still impermissibly restricted the arbitrator’s consideration of statutory factors and vacated challenged provisions.</t>
        </is>
      </c>
      <c r="H7" s="8" t="inlineStr">
        <is>
          <t>https://law.justia.com/cases/federal/district-courts/texas/txedce/6%3A2022cv00372/217452/99/</t>
        </is>
      </c>
    </row>
    <row r="8" ht="60" customHeight="1" s="21">
      <c r="A8" s="11" t="inlineStr">
        <is>
          <t>Texas Medical Association v. HHS (TMA IV)</t>
        </is>
      </c>
      <c r="B8" s="11" t="inlineStr">
        <is>
          <t>U.S. District Court, E.D. Texas</t>
        </is>
      </c>
      <c r="C8" s="11" t="inlineStr">
        <is>
          <t>Court Action</t>
        </is>
      </c>
      <c r="D8" s="12" t="n">
        <v>45141</v>
      </c>
      <c r="E8" s="12" t="n">
        <v>45141</v>
      </c>
      <c r="F8" s="11" t="inlineStr">
        <is>
          <t>Administrative-fee and batching guidance vacated</t>
        </is>
      </c>
      <c r="G8" s="11" t="inlineStr">
        <is>
          <t>Court vacated the 2023 $350 administrative-fee increase and challenged batching restrictions for failure to use notice-and-comment rulemaking.</t>
        </is>
      </c>
      <c r="H8" s="8" t="inlineStr">
        <is>
          <t>https://law.justia.com/cases/federal/district-courts/texas/txedce/6%3A2023cv00059/219983/50/</t>
        </is>
      </c>
    </row>
    <row r="9" ht="60" customHeight="1" s="21">
      <c r="A9" s="11" t="inlineStr">
        <is>
          <t>Texas Medical Association v. HHS (TMA III)</t>
        </is>
      </c>
      <c r="B9" s="11" t="inlineStr">
        <is>
          <t>U.S. District Court, E.D. Texas</t>
        </is>
      </c>
      <c r="C9" s="11" t="inlineStr">
        <is>
          <t>Court Action</t>
        </is>
      </c>
      <c r="D9" s="12" t="n">
        <v>45162</v>
      </c>
      <c r="E9" s="12" t="n">
        <v>45162</v>
      </c>
      <c r="F9" s="11" t="inlineStr">
        <is>
          <t>QPA-calculation provisions/guidance vacated in part; later reviewed by Fifth Circuit</t>
        </is>
      </c>
      <c r="G9" s="11" t="inlineStr">
        <is>
          <t>Court invalidated several QPA-calculation rules, including treatment of certain contracted rates, leading to operational pauses and later enforcement-discretion guidance.</t>
        </is>
      </c>
      <c r="H9" s="8" t="inlineStr">
        <is>
          <t>https://law.justia.com/cases/federal/district-courts/texas/txedce/6%3A2022cv00450/218817/62/</t>
        </is>
      </c>
    </row>
    <row r="10" ht="60" customHeight="1" s="21">
      <c r="A10" s="11" t="inlineStr">
        <is>
          <t>Federal IDR Process Administrative Fee and Certified IDR Entity Fee Ranges — Proposed Rule</t>
        </is>
      </c>
      <c r="B10" s="11" t="inlineStr">
        <is>
          <t>DOL / HHS / Treasury</t>
        </is>
      </c>
      <c r="C10" s="11" t="inlineStr">
        <is>
          <t>Proposed Rule</t>
        </is>
      </c>
      <c r="D10" s="12" t="n">
        <v>45195</v>
      </c>
      <c r="E10" s="11" t="n"/>
      <c r="F10" s="11" t="inlineStr">
        <is>
          <t>Superseded by December 2023 final rule</t>
        </is>
      </c>
      <c r="G10" s="11" t="inlineStr">
        <is>
          <t>Proposed setting the IDR administrative fee and certified IDR entity fee ranges through notice-and-comment rulemaking in response to TMA IV.</t>
        </is>
      </c>
      <c r="H10" s="8" t="inlineStr">
        <is>
          <t>https://regulations.justia.com/regulations/fedreg/2023/09/26/2023-20799.html</t>
        </is>
      </c>
    </row>
    <row r="11" ht="60" customHeight="1" s="21">
      <c r="A11" s="11" t="inlineStr">
        <is>
          <t>Federal Independent Dispute Resolution Operations — Proposed Rule</t>
        </is>
      </c>
      <c r="B11" s="11" t="inlineStr">
        <is>
          <t>DOL / HHS / Treasury / OPM</t>
        </is>
      </c>
      <c r="C11" s="11" t="inlineStr">
        <is>
          <t>Proposed Rule</t>
        </is>
      </c>
      <c r="D11" s="12" t="n">
        <v>45233</v>
      </c>
      <c r="E11" s="11" t="n"/>
      <c r="F11" s="11" t="inlineStr">
        <is>
          <t>Substantially finalized in 2026</t>
        </is>
      </c>
      <c r="G11" s="11" t="inlineStr">
        <is>
          <t>Proposed broad IDR operational reforms covering open negotiation, initiation, eligibility, batching, extensions, fees, disclosures, and portal registration.</t>
        </is>
      </c>
      <c r="H11" s="8" t="inlineStr">
        <is>
          <t>https://regulations.justia.com/regulations/fedreg/2023/11/03/2023-23779.html</t>
        </is>
      </c>
    </row>
    <row r="12" ht="60" customHeight="1" s="21">
      <c r="A12" s="11" t="inlineStr">
        <is>
          <t>Federal IDR Process Administrative Fee and Certified IDR Entity Fee Ranges — Final Rule</t>
        </is>
      </c>
      <c r="B12" s="11" t="inlineStr">
        <is>
          <t>DOL / HHS / Treasury</t>
        </is>
      </c>
      <c r="C12" s="11" t="inlineStr">
        <is>
          <t>Rule</t>
        </is>
      </c>
      <c r="D12" s="12" t="n">
        <v>45281</v>
      </c>
      <c r="E12" s="12" t="n">
        <v>45313</v>
      </c>
      <c r="F12" s="11" t="inlineStr">
        <is>
          <t>Effective until superseded by later rulemaking</t>
        </is>
      </c>
      <c r="G12" s="11" t="inlineStr">
        <is>
          <t>Established fees through notice-and-comment rulemaking; set the administrative fee at $115 per party and established certified IDR entity fee ranges.</t>
        </is>
      </c>
      <c r="H12" s="8" t="inlineStr">
        <is>
          <t>https://regulations.justia.com/regulations/fedreg/2023/12/21/2023-27931.html</t>
        </is>
      </c>
    </row>
    <row r="13" ht="60" customHeight="1" s="21">
      <c r="A13" s="11" t="inlineStr">
        <is>
          <t>Texas Medical Association v. HHS (TMA II) — Fifth Circuit</t>
        </is>
      </c>
      <c r="B13" s="11" t="inlineStr">
        <is>
          <t>U.S. Court of Appeals, Fifth Circuit</t>
        </is>
      </c>
      <c r="C13" s="11" t="inlineStr">
        <is>
          <t>Court Action</t>
        </is>
      </c>
      <c r="D13" s="12" t="n">
        <v>45506</v>
      </c>
      <c r="E13" s="12" t="n">
        <v>45506</v>
      </c>
      <c r="F13" s="11" t="inlineStr">
        <is>
          <t>District-court vacatur affirmed</t>
        </is>
      </c>
      <c r="G13" s="11" t="inlineStr">
        <is>
          <t>Fifth Circuit affirmed the TMA II judgment that the Departments exceeded statutory authority by constraining how IDR entities weigh the QPA and other factors.</t>
        </is>
      </c>
      <c r="H13" s="8" t="inlineStr">
        <is>
          <t>https://law.justia.com/cases/federal/appellate-courts/ca5/23-40217/23-40217-2024-08-02.html</t>
        </is>
      </c>
    </row>
    <row r="14" ht="60" customHeight="1" s="21">
      <c r="A14" s="11" t="inlineStr">
        <is>
          <t>Texas Medical Association v. HHS (TMA III) — Fifth Circuit Panel</t>
        </is>
      </c>
      <c r="B14" s="11" t="inlineStr">
        <is>
          <t>U.S. Court of Appeals, Fifth Circuit</t>
        </is>
      </c>
      <c r="C14" s="11" t="inlineStr">
        <is>
          <t>Court Action</t>
        </is>
      </c>
      <c r="D14" s="12" t="n">
        <v>45595</v>
      </c>
      <c r="E14" s="12" t="n">
        <v>45595</v>
      </c>
      <c r="F14" s="11" t="inlineStr">
        <is>
          <t>Vacated May 30, 2025 when rehearing en banc was granted</t>
        </is>
      </c>
      <c r="G14" s="11" t="inlineStr">
        <is>
          <t>Panel opinion addressed QPA-calculation rules; the panel opinion ceased to have precedential effect when the Fifth Circuit granted rehearing en banc.</t>
        </is>
      </c>
      <c r="H14" s="8" t="inlineStr">
        <is>
          <t>https://law.justia.com/cases/federal/appellate-courts/ca5/23-40605/23-40605-2024-10-30.html</t>
        </is>
      </c>
    </row>
    <row r="15" ht="60" customHeight="1" s="21">
      <c r="A15" s="11" t="inlineStr">
        <is>
          <t>TMA III — Rehearing En Banc Granted</t>
        </is>
      </c>
      <c r="B15" s="11" t="inlineStr">
        <is>
          <t>U.S. Court of Appeals, Fifth Circuit</t>
        </is>
      </c>
      <c r="C15" s="11" t="inlineStr">
        <is>
          <t>Court Action</t>
        </is>
      </c>
      <c r="D15" s="12" t="n">
        <v>45807</v>
      </c>
      <c r="E15" s="12" t="n">
        <v>45807</v>
      </c>
      <c r="F15" s="11" t="inlineStr">
        <is>
          <t>Panel opinion vacated; en banc review completed in 2026</t>
        </is>
      </c>
      <c r="G15" s="11" t="inlineStr">
        <is>
          <t>Fifth Circuit granted rehearing en banc and expressly vacated its October 30, 2024 panel opinion.</t>
        </is>
      </c>
      <c r="H15" s="8" t="inlineStr">
        <is>
          <t>https://law.justia.com/cases/federal/appellate-courts/ca5/23-40605/23-40605-2025-05-30.html</t>
        </is>
      </c>
    </row>
    <row r="16" ht="60" customHeight="1" s="21">
      <c r="A16" s="11" t="inlineStr">
        <is>
          <t>FAQs about CAA 2021 and ACA Implementation Part 71</t>
        </is>
      </c>
      <c r="B16" s="11" t="inlineStr">
        <is>
          <t>DOL / HHS / Treasury / OPM</t>
        </is>
      </c>
      <c r="C16" s="11" t="inlineStr">
        <is>
          <t>Guidance</t>
        </is>
      </c>
      <c r="D16" s="12" t="n">
        <v>45868</v>
      </c>
      <c r="E16" s="12" t="n">
        <v>45868</v>
      </c>
      <c r="F16" s="11" t="inlineStr">
        <is>
          <t>Superseded/updated by later guidance as applicable</t>
        </is>
      </c>
      <c r="G16" s="11" t="inlineStr">
        <is>
          <t>Extended enforcement discretion allowing use of the 2021 QPA methodology for items/services furnished before February 1, 2026 while TMA III remained under en banc review.</t>
        </is>
      </c>
      <c r="H16" s="8" t="inlineStr">
        <is>
          <t>https://www.dol.gov/agencies/ebsa/about-ebsa/our-activities/resource-center/faqs/aca-part-71</t>
        </is>
      </c>
    </row>
    <row r="17" ht="60" customHeight="1" s="21">
      <c r="A17" s="11" t="inlineStr">
        <is>
          <t>Federal Independent Dispute Resolution Operations — Final Rule</t>
        </is>
      </c>
      <c r="B17" s="11" t="inlineStr">
        <is>
          <t>DOL / HHS / Treasury / OPM</t>
        </is>
      </c>
      <c r="C17" s="11" t="inlineStr">
        <is>
          <t>Rule</t>
        </is>
      </c>
      <c r="D17" s="12" t="n">
        <v>46177</v>
      </c>
      <c r="E17" s="12" t="n">
        <v>46237</v>
      </c>
      <c r="F17" s="11" t="inlineStr">
        <is>
          <t>Effective; phased implementation</t>
        </is>
      </c>
      <c r="G17" s="11" t="inlineStr">
        <is>
          <t>Comprehensive IDR operations final rule addressing disclosures, open negotiation and initiation, eligibility, batching, fees, registry/Gateway functions and other process reforms. The $15 administrative-fee provision applies beginning June 11, 2026.</t>
        </is>
      </c>
      <c r="H17" s="8" t="inlineStr">
        <is>
          <t>https://www.federalregister.gov/documents/2026/06/04/2026-11140/federal-independent-dispute-resolution-operations</t>
        </is>
      </c>
    </row>
    <row r="18" ht="60" customHeight="1" s="21">
      <c r="A18" s="11" t="inlineStr">
        <is>
          <t>Texas Medical Association v. HHS (TMA III) — En Banc Fifth Circuit</t>
        </is>
      </c>
      <c r="B18" s="11" t="inlineStr">
        <is>
          <t>U.S. Court of Appeals, Fifth Circuit</t>
        </is>
      </c>
      <c r="C18" s="11" t="inlineStr">
        <is>
          <t>Court Action</t>
        </is>
      </c>
      <c r="D18" s="12" t="n">
        <v>46245</v>
      </c>
      <c r="E18" s="12" t="n">
        <v>46245</v>
      </c>
      <c r="F18" s="11" t="inlineStr">
        <is>
          <t>Current appellate ruling; agencies reviewing implementation</t>
        </is>
      </c>
      <c r="G18" s="11" t="inlineStr">
        <is>
          <t>En banc Fifth Circuit affirmed portions of the district-court judgment and reversed others concerning QPA methodology, including treatment of certain contracted rates.</t>
        </is>
      </c>
      <c r="H18" s="8" t="inlineStr">
        <is>
          <t>https://law.justia.com/cases/federal/appellate-courts/ca5/23-40605/23-40605-2026-08-11.html</t>
        </is>
      </c>
    </row>
    <row r="19" ht="60" customHeight="1" s="21">
      <c r="A19" s="11" t="inlineStr">
        <is>
          <t>TMA III Statement</t>
        </is>
      </c>
      <c r="B19" s="11" t="inlineStr">
        <is>
          <t>DOL / HHS / Treasury / OPM</t>
        </is>
      </c>
      <c r="C19" s="11" t="inlineStr">
        <is>
          <t>Guidance</t>
        </is>
      </c>
      <c r="D19" s="12" t="n">
        <v>46247</v>
      </c>
      <c r="E19" s="12" t="n">
        <v>46247</v>
      </c>
      <c r="F19" s="11" t="inlineStr">
        <is>
          <t>Current agency statement pending further guidance</t>
        </is>
      </c>
      <c r="G19" s="11" t="inlineStr">
        <is>
          <t>Departments stated they were reviewing the August 11 en banc ruling and that the Federal IDR process remained operational.</t>
        </is>
      </c>
      <c r="H19" s="8" t="inlineStr">
        <is>
          <t>https://www.cms.gov/initiatives/no-surprise-billing/overview/notices</t>
        </is>
      </c>
    </row>
    <row r="20" ht="60" customHeight="1" s="21">
      <c r="A20" s="11" t="inlineStr">
        <is>
          <t>Federal IDR Batching Implementation Notice</t>
        </is>
      </c>
      <c r="B20" s="11" t="inlineStr">
        <is>
          <t>DOL / HHS / Treasury / OPM</t>
        </is>
      </c>
      <c r="C20" s="11" t="inlineStr">
        <is>
          <t>Guidance</t>
        </is>
      </c>
      <c r="D20" s="12" t="n">
        <v>46237</v>
      </c>
      <c r="E20" s="12" t="n">
        <v>46327</v>
      </c>
      <c r="F20" s="11" t="inlineStr">
        <is>
          <t>Scheduled implementation</t>
        </is>
      </c>
      <c r="G20" s="11" t="inlineStr">
        <is>
          <t>Announced that the Federal IDR portal/Gateway would support the final-rule batching requirements beginning November 1, 2026.</t>
        </is>
      </c>
      <c r="H20" s="8" t="inlineStr">
        <is>
          <t>https://www.cms.gov/initiatives/no-surprise-billing/overview/notices</t>
        </is>
      </c>
    </row>
  </sheetData>
  <autoFilter ref="A1:H20"/>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Litigation Tracker</dc:creator>
  <dc:title xmlns:dc="http://purl.org/dc/elements/1.1/">NSA enforcement litigation data</dc:title>
  <dcterms:created xmlns:dcterms="http://purl.org/dc/terms/" xmlns:xsi="http://www.w3.org/2001/XMLSchema-instance" xsi:type="dcterms:W3CDTF">2026-09-29T19:26:58Z</dcterms:created>
  <dcterms:modified xmlns:dcterms="http://purl.org/dc/terms/" xmlns:xsi="http://www.w3.org/2001/XMLSchema-instance" xsi:type="dcterms:W3CDTF">2026-10-22T14:37:17Z</dcterms:modified>
  <cp:lastModifiedBy>Litigation Tracker</cp:lastModifiedBy>
</cp:coreProperties>
</file>